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سجل الحضور" sheetId="1" state="visible" r:id="rId1"/>
  </sheets>
  <definedNames>
    <definedName name="_xlnm.Print_Titles" localSheetId="0">'سجل الحضور'!$2:$7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HH:MM"/>
    <numFmt numFmtId="166" formatCode="[h]:mm"/>
  </numFmts>
  <fonts count="21">
    <font>
      <name val="Calibri"/>
      <family val="2"/>
      <color theme="1"/>
      <sz val="11"/>
      <scheme val="minor"/>
    </font>
    <font>
      <name val="Cairo"/>
      <b val="1"/>
      <color rgb="00FFFFFF"/>
      <sz val="24"/>
    </font>
    <font>
      <name val="Cairo"/>
      <b val="1"/>
      <color rgb="00FFFFFF"/>
      <sz val="11"/>
    </font>
    <font>
      <name val="Cairo"/>
      <color rgb="001F3864"/>
      <sz val="12"/>
    </font>
    <font>
      <name val="Cairo"/>
      <b val="1"/>
      <color rgb="001F3864"/>
      <sz val="13"/>
    </font>
    <font>
      <name val="Cairo"/>
      <b val="1"/>
      <color rgb="002E75B6"/>
      <sz val="12"/>
    </font>
    <font>
      <name val="Cairo"/>
      <b val="1"/>
      <color rgb="00FFFFFF"/>
      <sz val="13"/>
    </font>
    <font>
      <name val="Cairo"/>
      <b val="1"/>
      <color rgb="00FFFFFF"/>
      <sz val="12"/>
    </font>
    <font>
      <name val="Cairo"/>
      <color rgb="001F3864"/>
      <sz val="10"/>
    </font>
    <font>
      <name val="Cairo"/>
      <color rgb="001F3864"/>
      <sz val="11"/>
    </font>
    <font>
      <name val="Cairo"/>
      <b val="1"/>
      <color rgb="001F3864"/>
      <sz val="11"/>
    </font>
    <font>
      <name val="Cairo"/>
      <color rgb="00555555"/>
      <sz val="10"/>
    </font>
    <font>
      <name val="Cairo"/>
      <b val="1"/>
      <color rgb="00FFFFFF"/>
      <sz val="14"/>
    </font>
    <font>
      <name val="Cairo"/>
      <b val="1"/>
      <color rgb="00333333"/>
      <sz val="12"/>
    </font>
    <font>
      <name val="Cairo"/>
      <b val="1"/>
      <color rgb="001565C0"/>
      <sz val="16"/>
    </font>
    <font>
      <name val="Cairo"/>
      <b val="1"/>
      <color rgb="002E7D32"/>
      <sz val="16"/>
    </font>
    <font>
      <name val="Cairo"/>
      <b val="1"/>
      <color rgb="00C62828"/>
      <sz val="16"/>
    </font>
    <font>
      <name val="Cairo"/>
      <b val="1"/>
      <color rgb="00BF360C"/>
      <sz val="16"/>
    </font>
    <font>
      <name val="Cairo"/>
      <b val="1"/>
      <color rgb="004A148C"/>
      <sz val="16"/>
    </font>
    <font>
      <name val="Cairo"/>
      <b val="1"/>
      <color rgb="00827717"/>
      <sz val="16"/>
    </font>
    <font>
      <name val="Cairo"/>
      <i val="1"/>
      <color rgb="00666666"/>
      <sz val="10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FFFDE7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BBDEFB"/>
      </patternFill>
    </fill>
    <fill>
      <patternFill patternType="solid">
        <fgColor rgb="00E2EFDA"/>
      </patternFill>
    </fill>
    <fill>
      <patternFill patternType="solid">
        <fgColor rgb="00FFE0E0"/>
      </patternFill>
    </fill>
    <fill>
      <patternFill patternType="solid">
        <fgColor rgb="00DEEBF7"/>
      </patternFill>
    </fill>
    <fill>
      <patternFill patternType="solid">
        <fgColor rgb="00FCE4D6"/>
      </patternFill>
    </fill>
    <fill>
      <patternFill patternType="solid">
        <fgColor rgb="00EDE7F6"/>
      </patternFill>
    </fill>
    <fill>
      <patternFill patternType="solid">
        <fgColor rgb="00FFF9C4"/>
      </patternFill>
    </fill>
  </fills>
  <borders count="13">
    <border>
      <left/>
      <right/>
      <top/>
      <bottom/>
      <diagonal/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  <border>
      <left style="medium">
        <color rgb="00F4B942"/>
      </left>
      <right style="medium">
        <color rgb="00F4B942"/>
      </right>
      <top style="medium">
        <color rgb="00F4B942"/>
      </top>
      <bottom style="medium">
        <color rgb="00F4B942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medium">
        <color rgb="001565C0"/>
      </left>
      <right style="medium">
        <color rgb="001565C0"/>
      </right>
      <top style="medium">
        <color rgb="001565C0"/>
      </top>
      <bottom style="medium">
        <color rgb="001565C0"/>
      </bottom>
    </border>
    <border>
      <left style="medium">
        <color rgb="002E7D32"/>
      </left>
      <right style="medium">
        <color rgb="002E7D32"/>
      </right>
      <top style="medium">
        <color rgb="002E7D32"/>
      </top>
      <bottom style="medium">
        <color rgb="002E7D32"/>
      </bottom>
    </border>
    <border>
      <left style="medium">
        <color rgb="00C62828"/>
      </left>
      <right style="medium">
        <color rgb="00C62828"/>
      </right>
      <top style="medium">
        <color rgb="00C62828"/>
      </top>
      <bottom style="medium">
        <color rgb="00C62828"/>
      </bottom>
    </border>
    <border>
      <left style="medium">
        <color rgb="00BF360C"/>
      </left>
      <right style="medium">
        <color rgb="00BF360C"/>
      </right>
      <top style="medium">
        <color rgb="00BF360C"/>
      </top>
      <bottom style="medium">
        <color rgb="00BF360C"/>
      </bottom>
    </border>
    <border>
      <left style="medium">
        <color rgb="004A148C"/>
      </left>
      <right style="medium">
        <color rgb="004A148C"/>
      </right>
      <top style="medium">
        <color rgb="004A148C"/>
      </top>
      <bottom style="medium">
        <color rgb="004A148C"/>
      </bottom>
    </border>
    <border>
      <left style="medium">
        <color rgb="00827717"/>
      </left>
      <right style="medium">
        <color rgb="00827717"/>
      </right>
      <top style="medium">
        <color rgb="00827717"/>
      </top>
      <bottom style="medium">
        <color rgb="00827717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readingOrder="2"/>
    </xf>
    <xf numFmtId="0" fontId="2" fillId="3" borderId="2" applyAlignment="1" pivotButton="0" quotePrefix="0" xfId="0">
      <alignment horizontal="center" vertical="center" readingOrder="2"/>
    </xf>
    <xf numFmtId="0" fontId="3" fillId="4" borderId="1" applyAlignment="1" pivotButton="0" quotePrefix="0" xfId="0">
      <alignment horizontal="right" vertical="center" readingOrder="2"/>
    </xf>
    <xf numFmtId="0" fontId="4" fillId="5" borderId="3" applyAlignment="1" pivotButton="0" quotePrefix="0" xfId="0">
      <alignment horizontal="center" vertical="center" readingOrder="2"/>
    </xf>
    <xf numFmtId="0" fontId="5" fillId="4" borderId="2" applyAlignment="1" pivotButton="0" quotePrefix="0" xfId="0">
      <alignment horizontal="center" vertical="center" readingOrder="2"/>
    </xf>
    <xf numFmtId="0" fontId="6" fillId="2" borderId="1" applyAlignment="1" pivotButton="0" quotePrefix="0" xfId="0">
      <alignment horizontal="center" vertical="center" readingOrder="2"/>
    </xf>
    <xf numFmtId="0" fontId="7" fillId="2" borderId="1" applyAlignment="1" pivotButton="0" quotePrefix="0" xfId="0">
      <alignment horizontal="center" vertical="center" readingOrder="2"/>
    </xf>
    <xf numFmtId="164" fontId="8" fillId="6" borderId="4" applyAlignment="1" pivotButton="0" quotePrefix="0" xfId="0">
      <alignment horizontal="center" vertical="center" readingOrder="2"/>
    </xf>
    <xf numFmtId="0" fontId="8" fillId="6" borderId="4" applyAlignment="1" pivotButton="0" quotePrefix="0" xfId="0">
      <alignment horizontal="center" vertical="center" readingOrder="2"/>
    </xf>
    <xf numFmtId="165" fontId="9" fillId="7" borderId="4" applyAlignment="1" pivotButton="0" quotePrefix="0" xfId="0">
      <alignment horizontal="center" vertical="center" readingOrder="2"/>
    </xf>
    <xf numFmtId="166" fontId="10" fillId="6" borderId="4" applyAlignment="1" pivotButton="0" quotePrefix="0" xfId="0">
      <alignment horizontal="center" vertical="center" readingOrder="2"/>
    </xf>
    <xf numFmtId="0" fontId="10" fillId="7" borderId="4" applyAlignment="1" pivotButton="0" quotePrefix="0" xfId="0">
      <alignment horizontal="center" vertical="center" readingOrder="2"/>
    </xf>
    <xf numFmtId="0" fontId="11" fillId="7" borderId="4" applyAlignment="1" pivotButton="0" quotePrefix="0" xfId="0">
      <alignment horizontal="right" vertical="center" readingOrder="2"/>
    </xf>
    <xf numFmtId="0" fontId="12" fillId="2" borderId="1" applyAlignment="1" pivotButton="0" quotePrefix="0" xfId="0">
      <alignment horizontal="center" vertical="center" readingOrder="2"/>
    </xf>
    <xf numFmtId="0" fontId="13" fillId="8" borderId="5" applyAlignment="1" pivotButton="0" quotePrefix="0" xfId="0">
      <alignment horizontal="right" vertical="center" readingOrder="2"/>
    </xf>
    <xf numFmtId="0" fontId="14" fillId="8" borderId="6" applyAlignment="1" pivotButton="0" quotePrefix="0" xfId="0">
      <alignment horizontal="center" vertical="center" readingOrder="2"/>
    </xf>
    <xf numFmtId="0" fontId="13" fillId="9" borderId="5" applyAlignment="1" pivotButton="0" quotePrefix="0" xfId="0">
      <alignment horizontal="right" vertical="center" readingOrder="2"/>
    </xf>
    <xf numFmtId="0" fontId="15" fillId="9" borderId="7" applyAlignment="1" pivotButton="0" quotePrefix="0" xfId="0">
      <alignment horizontal="center" vertical="center" readingOrder="2"/>
    </xf>
    <xf numFmtId="0" fontId="13" fillId="10" borderId="5" applyAlignment="1" pivotButton="0" quotePrefix="0" xfId="0">
      <alignment horizontal="right" vertical="center" readingOrder="2"/>
    </xf>
    <xf numFmtId="0" fontId="16" fillId="10" borderId="8" applyAlignment="1" pivotButton="0" quotePrefix="0" xfId="0">
      <alignment horizontal="center" vertical="center" readingOrder="2"/>
    </xf>
    <xf numFmtId="0" fontId="13" fillId="11" borderId="5" applyAlignment="1" pivotButton="0" quotePrefix="0" xfId="0">
      <alignment horizontal="right" vertical="center" readingOrder="2"/>
    </xf>
    <xf numFmtId="0" fontId="14" fillId="11" borderId="6" applyAlignment="1" pivotButton="0" quotePrefix="0" xfId="0">
      <alignment horizontal="center" vertical="center" readingOrder="2"/>
    </xf>
    <xf numFmtId="0" fontId="13" fillId="12" borderId="5" applyAlignment="1" pivotButton="0" quotePrefix="0" xfId="0">
      <alignment horizontal="right" vertical="center" readingOrder="2"/>
    </xf>
    <xf numFmtId="0" fontId="17" fillId="12" borderId="9" applyAlignment="1" pivotButton="0" quotePrefix="0" xfId="0">
      <alignment horizontal="center" vertical="center" readingOrder="2"/>
    </xf>
    <xf numFmtId="0" fontId="13" fillId="13" borderId="5" applyAlignment="1" pivotButton="0" quotePrefix="0" xfId="0">
      <alignment horizontal="right" vertical="center" readingOrder="2"/>
    </xf>
    <xf numFmtId="0" fontId="18" fillId="13" borderId="10" applyAlignment="1" pivotButton="0" quotePrefix="0" xfId="0">
      <alignment horizontal="center" vertical="center" readingOrder="2"/>
    </xf>
    <xf numFmtId="0" fontId="13" fillId="14" borderId="5" applyAlignment="1" pivotButton="0" quotePrefix="0" xfId="0">
      <alignment horizontal="right" vertical="center" readingOrder="2"/>
    </xf>
    <xf numFmtId="166" fontId="19" fillId="14" borderId="11" applyAlignment="1" pivotButton="0" quotePrefix="0" xfId="0">
      <alignment horizontal="center" vertical="center" readingOrder="2"/>
    </xf>
    <xf numFmtId="0" fontId="20" fillId="5" borderId="12" applyAlignment="1" pivotButton="0" quotePrefix="0" xfId="0">
      <alignment horizontal="center" vertical="center" readingOrder="2"/>
    </xf>
  </cellXfs>
  <cellStyles count="1">
    <cellStyle name="Normal" xfId="0" builtinId="0" hidden="0"/>
  </cellStyles>
  <dxfs count="7">
    <dxf>
      <fill>
        <patternFill patternType="solid">
          <fgColor rgb="00E2EFDA"/>
        </patternFill>
      </fill>
    </dxf>
    <dxf>
      <fill>
        <patternFill patternType="solid">
          <fgColor rgb="00FFE0E0"/>
        </patternFill>
      </fill>
    </dxf>
    <dxf>
      <fill>
        <patternFill patternType="solid">
          <fgColor rgb="00DEEBF7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EDE7F6"/>
        </patternFill>
      </fill>
    </dxf>
    <dxf>
      <fill>
        <patternFill patternType="solid">
          <fgColor rgb="00E8E8E8"/>
        </patternFill>
      </fill>
    </dxf>
    <dxf>
      <fill>
        <patternFill patternType="solid">
          <fgColor rgb="00FFFF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B2:H49"/>
  <sheetViews>
    <sheetView rightToLeft="1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5" customWidth="1" min="2" max="2"/>
    <col width="15" customWidth="1" min="3" max="3"/>
    <col width="14" customWidth="1" min="4" max="4"/>
    <col width="14" customWidth="1" min="5" max="5"/>
    <col width="13" customWidth="1" min="6" max="6"/>
    <col width="17" customWidth="1" min="7" max="7"/>
    <col width="25" customWidth="1" min="8" max="8"/>
    <col width="3" customWidth="1" min="9" max="9"/>
  </cols>
  <sheetData>
    <row r="1" ht="8" customHeight="1"/>
    <row r="2" ht="54" customHeight="1">
      <c r="B2" s="1" t="inlineStr">
        <is>
          <t>سجل حضور وانصراف الموظفين</t>
        </is>
      </c>
    </row>
    <row r="3" ht="8" customHeight="1"/>
    <row r="4" ht="34" customHeight="1">
      <c r="B4" s="2" t="inlineStr">
        <is>
          <t>اسم الموظف</t>
        </is>
      </c>
      <c r="C4" s="3" t="inlineStr"/>
      <c r="E4" s="2" t="inlineStr">
        <is>
          <t>القسم / الوظيفة</t>
        </is>
      </c>
      <c r="F4" s="3" t="inlineStr"/>
    </row>
    <row r="5" ht="34" customHeight="1">
      <c r="B5" s="2" t="inlineStr">
        <is>
          <t>الشهر</t>
        </is>
      </c>
      <c r="C5" s="4" t="n">
        <v>6</v>
      </c>
      <c r="D5" s="5">
        <f>CHOOSE(C5,"يناير","فبراير","مارس","أبريل","مايو","يونيو","يوليو","أغسطس","سبتمبر","أكتوبر","نوفمبر","ديسمبر")</f>
        <v/>
      </c>
      <c r="E5" s="2" t="inlineStr">
        <is>
          <t>السنة</t>
        </is>
      </c>
      <c r="F5" s="4" t="n">
        <v>2026</v>
      </c>
      <c r="G5" s="6">
        <f>D5&amp;"  |  "&amp;F5</f>
        <v/>
      </c>
    </row>
    <row r="6" ht="8" customHeight="1"/>
    <row r="7" ht="32" customHeight="1">
      <c r="B7" s="7" t="inlineStr">
        <is>
          <t>التاريخ</t>
        </is>
      </c>
      <c r="C7" s="7" t="inlineStr">
        <is>
          <t>اليوم</t>
        </is>
      </c>
      <c r="D7" s="7" t="inlineStr">
        <is>
          <t>وقت الدخول</t>
        </is>
      </c>
      <c r="E7" s="7" t="inlineStr">
        <is>
          <t>وقت الخروج</t>
        </is>
      </c>
      <c r="F7" s="7" t="inlineStr">
        <is>
          <t>ساعات العمل</t>
        </is>
      </c>
      <c r="G7" s="7" t="inlineStr">
        <is>
          <t>الحالة</t>
        </is>
      </c>
      <c r="H7" s="7" t="inlineStr">
        <is>
          <t>ملاحظات</t>
        </is>
      </c>
    </row>
    <row r="8" ht="22" customHeight="1">
      <c r="B8" s="8">
        <f>DATE($F$5,$C$5,1)</f>
        <v/>
      </c>
      <c r="C8" s="9">
        <f>IF(B8="","",CHOOSE(WEEKDAY(B8,1),"الأحد","الاثنين","الثلاثاء","الأربعاء","الخميس","الجمعة","السبت"))</f>
        <v/>
      </c>
      <c r="D8" s="10" t="n"/>
      <c r="E8" s="10" t="n"/>
      <c r="F8" s="11">
        <f>IF(AND(D8&lt;&gt;"",E8&lt;&gt;""),E8-D8,"")</f>
        <v/>
      </c>
      <c r="G8" s="12" t="n"/>
      <c r="H8" s="13" t="n"/>
    </row>
    <row r="9" ht="22" customHeight="1">
      <c r="B9" s="8">
        <f>IF(B8="","",IF(MONTH(B8+1)=$C$5,B8+1,""))</f>
        <v/>
      </c>
      <c r="C9" s="9">
        <f>IF(B9="","",CHOOSE(WEEKDAY(B9,1),"الأحد","الاثنين","الثلاثاء","الأربعاء","الخميس","الجمعة","السبت"))</f>
        <v/>
      </c>
      <c r="D9" s="10" t="n"/>
      <c r="E9" s="10" t="n"/>
      <c r="F9" s="11">
        <f>IF(AND(D9&lt;&gt;"",E9&lt;&gt;""),E9-D9,"")</f>
        <v/>
      </c>
      <c r="G9" s="12" t="n"/>
      <c r="H9" s="13" t="n"/>
    </row>
    <row r="10" ht="22" customHeight="1">
      <c r="B10" s="8">
        <f>IF(B9="","",IF(MONTH(B9+1)=$C$5,B9+1,""))</f>
        <v/>
      </c>
      <c r="C10" s="9">
        <f>IF(B10="","",CHOOSE(WEEKDAY(B10,1),"الأحد","الاثنين","الثلاثاء","الأربعاء","الخميس","الجمعة","السبت"))</f>
        <v/>
      </c>
      <c r="D10" s="10" t="n"/>
      <c r="E10" s="10" t="n"/>
      <c r="F10" s="11">
        <f>IF(AND(D10&lt;&gt;"",E10&lt;&gt;""),E10-D10,"")</f>
        <v/>
      </c>
      <c r="G10" s="12" t="n"/>
      <c r="H10" s="13" t="n"/>
    </row>
    <row r="11" ht="22" customHeight="1">
      <c r="B11" s="8">
        <f>IF(B10="","",IF(MONTH(B10+1)=$C$5,B10+1,""))</f>
        <v/>
      </c>
      <c r="C11" s="9">
        <f>IF(B11="","",CHOOSE(WEEKDAY(B11,1),"الأحد","الاثنين","الثلاثاء","الأربعاء","الخميس","الجمعة","السبت"))</f>
        <v/>
      </c>
      <c r="D11" s="10" t="n"/>
      <c r="E11" s="10" t="n"/>
      <c r="F11" s="11">
        <f>IF(AND(D11&lt;&gt;"",E11&lt;&gt;""),E11-D11,"")</f>
        <v/>
      </c>
      <c r="G11" s="12" t="n"/>
      <c r="H11" s="13" t="n"/>
    </row>
    <row r="12" ht="22" customHeight="1">
      <c r="B12" s="8">
        <f>IF(B11="","",IF(MONTH(B11+1)=$C$5,B11+1,""))</f>
        <v/>
      </c>
      <c r="C12" s="9">
        <f>IF(B12="","",CHOOSE(WEEKDAY(B12,1),"الأحد","الاثنين","الثلاثاء","الأربعاء","الخميس","الجمعة","السبت"))</f>
        <v/>
      </c>
      <c r="D12" s="10" t="n"/>
      <c r="E12" s="10" t="n"/>
      <c r="F12" s="11">
        <f>IF(AND(D12&lt;&gt;"",E12&lt;&gt;""),E12-D12,"")</f>
        <v/>
      </c>
      <c r="G12" s="12" t="n"/>
      <c r="H12" s="13" t="n"/>
    </row>
    <row r="13" ht="22" customHeight="1">
      <c r="B13" s="8">
        <f>IF(B12="","",IF(MONTH(B12+1)=$C$5,B12+1,""))</f>
        <v/>
      </c>
      <c r="C13" s="9">
        <f>IF(B13="","",CHOOSE(WEEKDAY(B13,1),"الأحد","الاثنين","الثلاثاء","الأربعاء","الخميس","الجمعة","السبت"))</f>
        <v/>
      </c>
      <c r="D13" s="10" t="n"/>
      <c r="E13" s="10" t="n"/>
      <c r="F13" s="11">
        <f>IF(AND(D13&lt;&gt;"",E13&lt;&gt;""),E13-D13,"")</f>
        <v/>
      </c>
      <c r="G13" s="12" t="n"/>
      <c r="H13" s="13" t="n"/>
    </row>
    <row r="14" ht="22" customHeight="1">
      <c r="B14" s="8">
        <f>IF(B13="","",IF(MONTH(B13+1)=$C$5,B13+1,""))</f>
        <v/>
      </c>
      <c r="C14" s="9">
        <f>IF(B14="","",CHOOSE(WEEKDAY(B14,1),"الأحد","الاثنين","الثلاثاء","الأربعاء","الخميس","الجمعة","السبت"))</f>
        <v/>
      </c>
      <c r="D14" s="10" t="n"/>
      <c r="E14" s="10" t="n"/>
      <c r="F14" s="11">
        <f>IF(AND(D14&lt;&gt;"",E14&lt;&gt;""),E14-D14,"")</f>
        <v/>
      </c>
      <c r="G14" s="12" t="n"/>
      <c r="H14" s="13" t="n"/>
    </row>
    <row r="15" ht="22" customHeight="1">
      <c r="B15" s="8">
        <f>IF(B14="","",IF(MONTH(B14+1)=$C$5,B14+1,""))</f>
        <v/>
      </c>
      <c r="C15" s="9">
        <f>IF(B15="","",CHOOSE(WEEKDAY(B15,1),"الأحد","الاثنين","الثلاثاء","الأربعاء","الخميس","الجمعة","السبت"))</f>
        <v/>
      </c>
      <c r="D15" s="10" t="n"/>
      <c r="E15" s="10" t="n"/>
      <c r="F15" s="11">
        <f>IF(AND(D15&lt;&gt;"",E15&lt;&gt;""),E15-D15,"")</f>
        <v/>
      </c>
      <c r="G15" s="12" t="n"/>
      <c r="H15" s="13" t="n"/>
    </row>
    <row r="16" ht="22" customHeight="1">
      <c r="B16" s="8">
        <f>IF(B15="","",IF(MONTH(B15+1)=$C$5,B15+1,""))</f>
        <v/>
      </c>
      <c r="C16" s="9">
        <f>IF(B16="","",CHOOSE(WEEKDAY(B16,1),"الأحد","الاثنين","الثلاثاء","الأربعاء","الخميس","الجمعة","السبت"))</f>
        <v/>
      </c>
      <c r="D16" s="10" t="n"/>
      <c r="E16" s="10" t="n"/>
      <c r="F16" s="11">
        <f>IF(AND(D16&lt;&gt;"",E16&lt;&gt;""),E16-D16,"")</f>
        <v/>
      </c>
      <c r="G16" s="12" t="n"/>
      <c r="H16" s="13" t="n"/>
    </row>
    <row r="17" ht="22" customHeight="1">
      <c r="B17" s="8">
        <f>IF(B16="","",IF(MONTH(B16+1)=$C$5,B16+1,""))</f>
        <v/>
      </c>
      <c r="C17" s="9">
        <f>IF(B17="","",CHOOSE(WEEKDAY(B17,1),"الأحد","الاثنين","الثلاثاء","الأربعاء","الخميس","الجمعة","السبت"))</f>
        <v/>
      </c>
      <c r="D17" s="10" t="n"/>
      <c r="E17" s="10" t="n"/>
      <c r="F17" s="11">
        <f>IF(AND(D17&lt;&gt;"",E17&lt;&gt;""),E17-D17,"")</f>
        <v/>
      </c>
      <c r="G17" s="12" t="n"/>
      <c r="H17" s="13" t="n"/>
    </row>
    <row r="18" ht="22" customHeight="1">
      <c r="B18" s="8">
        <f>IF(B17="","",IF(MONTH(B17+1)=$C$5,B17+1,""))</f>
        <v/>
      </c>
      <c r="C18" s="9">
        <f>IF(B18="","",CHOOSE(WEEKDAY(B18,1),"الأحد","الاثنين","الثلاثاء","الأربعاء","الخميس","الجمعة","السبت"))</f>
        <v/>
      </c>
      <c r="D18" s="10" t="n"/>
      <c r="E18" s="10" t="n"/>
      <c r="F18" s="11">
        <f>IF(AND(D18&lt;&gt;"",E18&lt;&gt;""),E18-D18,"")</f>
        <v/>
      </c>
      <c r="G18" s="12" t="n"/>
      <c r="H18" s="13" t="n"/>
    </row>
    <row r="19" ht="22" customHeight="1">
      <c r="B19" s="8">
        <f>IF(B18="","",IF(MONTH(B18+1)=$C$5,B18+1,""))</f>
        <v/>
      </c>
      <c r="C19" s="9">
        <f>IF(B19="","",CHOOSE(WEEKDAY(B19,1),"الأحد","الاثنين","الثلاثاء","الأربعاء","الخميس","الجمعة","السبت"))</f>
        <v/>
      </c>
      <c r="D19" s="10" t="n"/>
      <c r="E19" s="10" t="n"/>
      <c r="F19" s="11">
        <f>IF(AND(D19&lt;&gt;"",E19&lt;&gt;""),E19-D19,"")</f>
        <v/>
      </c>
      <c r="G19" s="12" t="n"/>
      <c r="H19" s="13" t="n"/>
    </row>
    <row r="20" ht="22" customHeight="1">
      <c r="B20" s="8">
        <f>IF(B19="","",IF(MONTH(B19+1)=$C$5,B19+1,""))</f>
        <v/>
      </c>
      <c r="C20" s="9">
        <f>IF(B20="","",CHOOSE(WEEKDAY(B20,1),"الأحد","الاثنين","الثلاثاء","الأربعاء","الخميس","الجمعة","السبت"))</f>
        <v/>
      </c>
      <c r="D20" s="10" t="n"/>
      <c r="E20" s="10" t="n"/>
      <c r="F20" s="11">
        <f>IF(AND(D20&lt;&gt;"",E20&lt;&gt;""),E20-D20,"")</f>
        <v/>
      </c>
      <c r="G20" s="12" t="n"/>
      <c r="H20" s="13" t="n"/>
    </row>
    <row r="21" ht="22" customHeight="1">
      <c r="B21" s="8">
        <f>IF(B20="","",IF(MONTH(B20+1)=$C$5,B20+1,""))</f>
        <v/>
      </c>
      <c r="C21" s="9">
        <f>IF(B21="","",CHOOSE(WEEKDAY(B21,1),"الأحد","الاثنين","الثلاثاء","الأربعاء","الخميس","الجمعة","السبت"))</f>
        <v/>
      </c>
      <c r="D21" s="10" t="n"/>
      <c r="E21" s="10" t="n"/>
      <c r="F21" s="11">
        <f>IF(AND(D21&lt;&gt;"",E21&lt;&gt;""),E21-D21,"")</f>
        <v/>
      </c>
      <c r="G21" s="12" t="n"/>
      <c r="H21" s="13" t="n"/>
    </row>
    <row r="22" ht="22" customHeight="1">
      <c r="B22" s="8">
        <f>IF(B21="","",IF(MONTH(B21+1)=$C$5,B21+1,""))</f>
        <v/>
      </c>
      <c r="C22" s="9">
        <f>IF(B22="","",CHOOSE(WEEKDAY(B22,1),"الأحد","الاثنين","الثلاثاء","الأربعاء","الخميس","الجمعة","السبت"))</f>
        <v/>
      </c>
      <c r="D22" s="10" t="n"/>
      <c r="E22" s="10" t="n"/>
      <c r="F22" s="11">
        <f>IF(AND(D22&lt;&gt;"",E22&lt;&gt;""),E22-D22,"")</f>
        <v/>
      </c>
      <c r="G22" s="12" t="n"/>
      <c r="H22" s="13" t="n"/>
    </row>
    <row r="23" ht="22" customHeight="1">
      <c r="B23" s="8">
        <f>IF(B22="","",IF(MONTH(B22+1)=$C$5,B22+1,""))</f>
        <v/>
      </c>
      <c r="C23" s="9">
        <f>IF(B23="","",CHOOSE(WEEKDAY(B23,1),"الأحد","الاثنين","الثلاثاء","الأربعاء","الخميس","الجمعة","السبت"))</f>
        <v/>
      </c>
      <c r="D23" s="10" t="n"/>
      <c r="E23" s="10" t="n"/>
      <c r="F23" s="11">
        <f>IF(AND(D23&lt;&gt;"",E23&lt;&gt;""),E23-D23,"")</f>
        <v/>
      </c>
      <c r="G23" s="12" t="n"/>
      <c r="H23" s="13" t="n"/>
    </row>
    <row r="24" ht="22" customHeight="1">
      <c r="B24" s="8">
        <f>IF(B23="","",IF(MONTH(B23+1)=$C$5,B23+1,""))</f>
        <v/>
      </c>
      <c r="C24" s="9">
        <f>IF(B24="","",CHOOSE(WEEKDAY(B24,1),"الأحد","الاثنين","الثلاثاء","الأربعاء","الخميس","الجمعة","السبت"))</f>
        <v/>
      </c>
      <c r="D24" s="10" t="n"/>
      <c r="E24" s="10" t="n"/>
      <c r="F24" s="11">
        <f>IF(AND(D24&lt;&gt;"",E24&lt;&gt;""),E24-D24,"")</f>
        <v/>
      </c>
      <c r="G24" s="12" t="n"/>
      <c r="H24" s="13" t="n"/>
    </row>
    <row r="25" ht="22" customHeight="1">
      <c r="B25" s="8">
        <f>IF(B24="","",IF(MONTH(B24+1)=$C$5,B24+1,""))</f>
        <v/>
      </c>
      <c r="C25" s="9">
        <f>IF(B25="","",CHOOSE(WEEKDAY(B25,1),"الأحد","الاثنين","الثلاثاء","الأربعاء","الخميس","الجمعة","السبت"))</f>
        <v/>
      </c>
      <c r="D25" s="10" t="n"/>
      <c r="E25" s="10" t="n"/>
      <c r="F25" s="11">
        <f>IF(AND(D25&lt;&gt;"",E25&lt;&gt;""),E25-D25,"")</f>
        <v/>
      </c>
      <c r="G25" s="12" t="n"/>
      <c r="H25" s="13" t="n"/>
    </row>
    <row r="26" ht="22" customHeight="1">
      <c r="B26" s="8">
        <f>IF(B25="","",IF(MONTH(B25+1)=$C$5,B25+1,""))</f>
        <v/>
      </c>
      <c r="C26" s="9">
        <f>IF(B26="","",CHOOSE(WEEKDAY(B26,1),"الأحد","الاثنين","الثلاثاء","الأربعاء","الخميس","الجمعة","السبت"))</f>
        <v/>
      </c>
      <c r="D26" s="10" t="n"/>
      <c r="E26" s="10" t="n"/>
      <c r="F26" s="11">
        <f>IF(AND(D26&lt;&gt;"",E26&lt;&gt;""),E26-D26,"")</f>
        <v/>
      </c>
      <c r="G26" s="12" t="n"/>
      <c r="H26" s="13" t="n"/>
    </row>
    <row r="27" ht="22" customHeight="1">
      <c r="B27" s="8">
        <f>IF(B26="","",IF(MONTH(B26+1)=$C$5,B26+1,""))</f>
        <v/>
      </c>
      <c r="C27" s="9">
        <f>IF(B27="","",CHOOSE(WEEKDAY(B27,1),"الأحد","الاثنين","الثلاثاء","الأربعاء","الخميس","الجمعة","السبت"))</f>
        <v/>
      </c>
      <c r="D27" s="10" t="n"/>
      <c r="E27" s="10" t="n"/>
      <c r="F27" s="11">
        <f>IF(AND(D27&lt;&gt;"",E27&lt;&gt;""),E27-D27,"")</f>
        <v/>
      </c>
      <c r="G27" s="12" t="n"/>
      <c r="H27" s="13" t="n"/>
    </row>
    <row r="28" ht="22" customHeight="1">
      <c r="B28" s="8">
        <f>IF(B27="","",IF(MONTH(B27+1)=$C$5,B27+1,""))</f>
        <v/>
      </c>
      <c r="C28" s="9">
        <f>IF(B28="","",CHOOSE(WEEKDAY(B28,1),"الأحد","الاثنين","الثلاثاء","الأربعاء","الخميس","الجمعة","السبت"))</f>
        <v/>
      </c>
      <c r="D28" s="10" t="n"/>
      <c r="E28" s="10" t="n"/>
      <c r="F28" s="11">
        <f>IF(AND(D28&lt;&gt;"",E28&lt;&gt;""),E28-D28,"")</f>
        <v/>
      </c>
      <c r="G28" s="12" t="n"/>
      <c r="H28" s="13" t="n"/>
    </row>
    <row r="29" ht="22" customHeight="1">
      <c r="B29" s="8">
        <f>IF(B28="","",IF(MONTH(B28+1)=$C$5,B28+1,""))</f>
        <v/>
      </c>
      <c r="C29" s="9">
        <f>IF(B29="","",CHOOSE(WEEKDAY(B29,1),"الأحد","الاثنين","الثلاثاء","الأربعاء","الخميس","الجمعة","السبت"))</f>
        <v/>
      </c>
      <c r="D29" s="10" t="n"/>
      <c r="E29" s="10" t="n"/>
      <c r="F29" s="11">
        <f>IF(AND(D29&lt;&gt;"",E29&lt;&gt;""),E29-D29,"")</f>
        <v/>
      </c>
      <c r="G29" s="12" t="n"/>
      <c r="H29" s="13" t="n"/>
    </row>
    <row r="30" ht="22" customHeight="1">
      <c r="B30" s="8">
        <f>IF(B29="","",IF(MONTH(B29+1)=$C$5,B29+1,""))</f>
        <v/>
      </c>
      <c r="C30" s="9">
        <f>IF(B30="","",CHOOSE(WEEKDAY(B30,1),"الأحد","الاثنين","الثلاثاء","الأربعاء","الخميس","الجمعة","السبت"))</f>
        <v/>
      </c>
      <c r="D30" s="10" t="n"/>
      <c r="E30" s="10" t="n"/>
      <c r="F30" s="11">
        <f>IF(AND(D30&lt;&gt;"",E30&lt;&gt;""),E30-D30,"")</f>
        <v/>
      </c>
      <c r="G30" s="12" t="n"/>
      <c r="H30" s="13" t="n"/>
    </row>
    <row r="31" ht="22" customHeight="1">
      <c r="B31" s="8">
        <f>IF(B30="","",IF(MONTH(B30+1)=$C$5,B30+1,""))</f>
        <v/>
      </c>
      <c r="C31" s="9">
        <f>IF(B31="","",CHOOSE(WEEKDAY(B31,1),"الأحد","الاثنين","الثلاثاء","الأربعاء","الخميس","الجمعة","السبت"))</f>
        <v/>
      </c>
      <c r="D31" s="10" t="n"/>
      <c r="E31" s="10" t="n"/>
      <c r="F31" s="11">
        <f>IF(AND(D31&lt;&gt;"",E31&lt;&gt;""),E31-D31,"")</f>
        <v/>
      </c>
      <c r="G31" s="12" t="n"/>
      <c r="H31" s="13" t="n"/>
    </row>
    <row r="32" ht="22" customHeight="1">
      <c r="B32" s="8">
        <f>IF(B31="","",IF(MONTH(B31+1)=$C$5,B31+1,""))</f>
        <v/>
      </c>
      <c r="C32" s="9">
        <f>IF(B32="","",CHOOSE(WEEKDAY(B32,1),"الأحد","الاثنين","الثلاثاء","الأربعاء","الخميس","الجمعة","السبت"))</f>
        <v/>
      </c>
      <c r="D32" s="10" t="n"/>
      <c r="E32" s="10" t="n"/>
      <c r="F32" s="11">
        <f>IF(AND(D32&lt;&gt;"",E32&lt;&gt;""),E32-D32,"")</f>
        <v/>
      </c>
      <c r="G32" s="12" t="n"/>
      <c r="H32" s="13" t="n"/>
    </row>
    <row r="33" ht="22" customHeight="1">
      <c r="B33" s="8">
        <f>IF(B32="","",IF(MONTH(B32+1)=$C$5,B32+1,""))</f>
        <v/>
      </c>
      <c r="C33" s="9">
        <f>IF(B33="","",CHOOSE(WEEKDAY(B33,1),"الأحد","الاثنين","الثلاثاء","الأربعاء","الخميس","الجمعة","السبت"))</f>
        <v/>
      </c>
      <c r="D33" s="10" t="n"/>
      <c r="E33" s="10" t="n"/>
      <c r="F33" s="11">
        <f>IF(AND(D33&lt;&gt;"",E33&lt;&gt;""),E33-D33,"")</f>
        <v/>
      </c>
      <c r="G33" s="12" t="n"/>
      <c r="H33" s="13" t="n"/>
    </row>
    <row r="34" ht="22" customHeight="1">
      <c r="B34" s="8">
        <f>IF(B33="","",IF(MONTH(B33+1)=$C$5,B33+1,""))</f>
        <v/>
      </c>
      <c r="C34" s="9">
        <f>IF(B34="","",CHOOSE(WEEKDAY(B34,1),"الأحد","الاثنين","الثلاثاء","الأربعاء","الخميس","الجمعة","السبت"))</f>
        <v/>
      </c>
      <c r="D34" s="10" t="n"/>
      <c r="E34" s="10" t="n"/>
      <c r="F34" s="11">
        <f>IF(AND(D34&lt;&gt;"",E34&lt;&gt;""),E34-D34,"")</f>
        <v/>
      </c>
      <c r="G34" s="12" t="n"/>
      <c r="H34" s="13" t="n"/>
    </row>
    <row r="35" ht="22" customHeight="1">
      <c r="B35" s="8">
        <f>IF(B34="","",IF(MONTH(B34+1)=$C$5,B34+1,""))</f>
        <v/>
      </c>
      <c r="C35" s="9">
        <f>IF(B35="","",CHOOSE(WEEKDAY(B35,1),"الأحد","الاثنين","الثلاثاء","الأربعاء","الخميس","الجمعة","السبت"))</f>
        <v/>
      </c>
      <c r="D35" s="10" t="n"/>
      <c r="E35" s="10" t="n"/>
      <c r="F35" s="11">
        <f>IF(AND(D35&lt;&gt;"",E35&lt;&gt;""),E35-D35,"")</f>
        <v/>
      </c>
      <c r="G35" s="12" t="n"/>
      <c r="H35" s="13" t="n"/>
    </row>
    <row r="36" ht="22" customHeight="1">
      <c r="B36" s="8">
        <f>IF(B35="","",IF(MONTH(B35+1)=$C$5,B35+1,""))</f>
        <v/>
      </c>
      <c r="C36" s="9">
        <f>IF(B36="","",CHOOSE(WEEKDAY(B36,1),"الأحد","الاثنين","الثلاثاء","الأربعاء","الخميس","الجمعة","السبت"))</f>
        <v/>
      </c>
      <c r="D36" s="10" t="n"/>
      <c r="E36" s="10" t="n"/>
      <c r="F36" s="11">
        <f>IF(AND(D36&lt;&gt;"",E36&lt;&gt;""),E36-D36,"")</f>
        <v/>
      </c>
      <c r="G36" s="12" t="n"/>
      <c r="H36" s="13" t="n"/>
    </row>
    <row r="37" ht="22" customHeight="1">
      <c r="B37" s="8">
        <f>IF(B36="","",IF(MONTH(B36+1)=$C$5,B36+1,""))</f>
        <v/>
      </c>
      <c r="C37" s="9">
        <f>IF(B37="","",CHOOSE(WEEKDAY(B37,1),"الأحد","الاثنين","الثلاثاء","الأربعاء","الخميس","الجمعة","السبت"))</f>
        <v/>
      </c>
      <c r="D37" s="10" t="n"/>
      <c r="E37" s="10" t="n"/>
      <c r="F37" s="11">
        <f>IF(AND(D37&lt;&gt;"",E37&lt;&gt;""),E37-D37,"")</f>
        <v/>
      </c>
      <c r="G37" s="12" t="n"/>
      <c r="H37" s="13" t="n"/>
    </row>
    <row r="38" ht="22" customHeight="1">
      <c r="B38" s="8">
        <f>IF(B37="","",IF(MONTH(B37+1)=$C$5,B37+1,""))</f>
        <v/>
      </c>
      <c r="C38" s="9">
        <f>IF(B38="","",CHOOSE(WEEKDAY(B38,1),"الأحد","الاثنين","الثلاثاء","الأربعاء","الخميس","الجمعة","السبت"))</f>
        <v/>
      </c>
      <c r="D38" s="10" t="n"/>
      <c r="E38" s="10" t="n"/>
      <c r="F38" s="11">
        <f>IF(AND(D38&lt;&gt;"",E38&lt;&gt;""),E38-D38,"")</f>
        <v/>
      </c>
      <c r="G38" s="12" t="n"/>
      <c r="H38" s="13" t="n"/>
    </row>
    <row r="39" ht="10" customHeight="1"/>
    <row r="40" ht="32" customHeight="1">
      <c r="B40" s="14" t="inlineStr">
        <is>
          <t>ملخص الشهر</t>
        </is>
      </c>
    </row>
    <row r="41" ht="28" customHeight="1">
      <c r="B41" s="15" t="inlineStr">
        <is>
          <t>أيام الشهر الكاملة</t>
        </is>
      </c>
      <c r="F41" s="16">
        <f>DAY(DATE($F$5,$C$5+1,0))</f>
        <v/>
      </c>
    </row>
    <row r="42" ht="28" customHeight="1">
      <c r="B42" s="17" t="inlineStr">
        <is>
          <t>أيام الحضور</t>
        </is>
      </c>
      <c r="F42" s="18">
        <f>COUNTIF(G8:G38,"حاضر")</f>
        <v/>
      </c>
    </row>
    <row r="43" ht="28" customHeight="1">
      <c r="B43" s="19" t="inlineStr">
        <is>
          <t>أيام الغياب</t>
        </is>
      </c>
      <c r="F43" s="20">
        <f>COUNTIF(G8:G38,"غائب")</f>
        <v/>
      </c>
    </row>
    <row r="44" ht="28" customHeight="1">
      <c r="B44" s="21" t="inlineStr">
        <is>
          <t>أيام الإجازة</t>
        </is>
      </c>
      <c r="F44" s="22">
        <f>COUNTIF(G8:G38,"إجازة")</f>
        <v/>
      </c>
    </row>
    <row r="45" ht="28" customHeight="1">
      <c r="B45" s="23" t="inlineStr">
        <is>
          <t>أيام الترك</t>
        </is>
      </c>
      <c r="F45" s="24">
        <f>COUNTIF(G8:G38,"ترك")</f>
        <v/>
      </c>
    </row>
    <row r="46" ht="28" customHeight="1">
      <c r="B46" s="25" t="inlineStr">
        <is>
          <t>الإجازات الرسمية</t>
        </is>
      </c>
      <c r="F46" s="26">
        <f>COUNTIF(G8:G38,"إجازة رسمية")</f>
        <v/>
      </c>
    </row>
    <row r="47" ht="28" customHeight="1">
      <c r="B47" s="27" t="inlineStr">
        <is>
          <t>إجمالي ساعات العمل</t>
        </is>
      </c>
      <c r="F47" s="28">
        <f>IFERROR(SUM(F8:F38),0)</f>
        <v/>
      </c>
    </row>
    <row r="48" ht="28" customHeight="1"/>
    <row r="49" ht="28" customHeight="1">
      <c r="B49" s="29" t="inlineStr">
        <is>
          <t>ملاحظة: عند تغيير الشهر تتحدث التواريخ تلقائياً — أدخل وقت الدخول والخروج بصيغة  HH:MM</t>
        </is>
      </c>
    </row>
  </sheetData>
  <mergeCells count="20">
    <mergeCell ref="B40:H40"/>
    <mergeCell ref="F42:H42"/>
    <mergeCell ref="F45:H45"/>
    <mergeCell ref="B49:H49"/>
    <mergeCell ref="F41:H41"/>
    <mergeCell ref="F47:H47"/>
    <mergeCell ref="C4:D4"/>
    <mergeCell ref="B45:E45"/>
    <mergeCell ref="B41:E41"/>
    <mergeCell ref="F46:H46"/>
    <mergeCell ref="F43:H43"/>
    <mergeCell ref="B47:E47"/>
    <mergeCell ref="B46:E46"/>
    <mergeCell ref="B43:E43"/>
    <mergeCell ref="G5:H5"/>
    <mergeCell ref="B2:H2"/>
    <mergeCell ref="F4:H4"/>
    <mergeCell ref="F44:H44"/>
    <mergeCell ref="B42:E42"/>
    <mergeCell ref="B44:E44"/>
  </mergeCells>
  <conditionalFormatting sqref="B8:H38">
    <cfRule type="expression" priority="1" dxfId="0">
      <formula>=$G8="حاضر"</formula>
    </cfRule>
    <cfRule type="expression" priority="2" dxfId="1">
      <formula>=$G8="غائب"</formula>
    </cfRule>
    <cfRule type="expression" priority="3" dxfId="2">
      <formula>=$G8="إجازة"</formula>
    </cfRule>
    <cfRule type="expression" priority="4" dxfId="3">
      <formula>=$G8="ترك"</formula>
    </cfRule>
    <cfRule type="expression" priority="5" dxfId="4">
      <formula>=$G8="إجازة رسمية"</formula>
    </cfRule>
    <cfRule type="expression" priority="6" dxfId="5">
      <formula>=AND($B8&lt;&gt;"",OR(WEEKDAY($B8,1)=6,WEEKDAY($B8,1)=7))</formula>
    </cfRule>
    <cfRule type="expression" priority="7" dxfId="6">
      <formula>=$B8=""</formula>
    </cfRule>
  </conditionalFormatting>
  <dataValidations count="2">
    <dataValidation sqref="C5" showDropDown="0" showInputMessage="1" showErrorMessage="0" allowBlank="0" promptTitle="اختر الشهر" prompt="أدخل رقم الشهر (1 إلى 12)" type="list">
      <formula1>"1,2,3,4,5,6,7,8,9,10,11,12"</formula1>
    </dataValidation>
    <dataValidation sqref="G8:G38" showDropDown="0" showInputMessage="1" showErrorMessage="1" allowBlank="1" errorTitle="خطأ في الإدخال" error="الرجاء الاختيار من القائمة المنسدلة" promptTitle="الحالة" prompt="اختر: حاضر | غائب | إجازة | ترك | إجازة رسمية" type="list">
      <formula1>"حاضر,غائب,إجازة,ترك,إجازة رسمية"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2026-05-31T08:36:18Z</dcterms:created>
  <dcterms:modified xsi:type="dcterms:W3CDTF">2026-05-31T08:36:18Z</dcterms:modified>
</cp:coreProperties>
</file>