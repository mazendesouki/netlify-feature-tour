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سجل الحضور" sheetId="1" state="visible" r:id="rId1"/>
  </sheets>
  <definedNames>
    <definedName name="_xlnm.Print_Titles" localSheetId="0">'سجل الحضور'!$1:$4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[h]:mm"/>
  </numFmts>
  <fonts count="19">
    <font>
      <name val="Calibri"/>
      <family val="2"/>
      <color theme="1"/>
      <sz val="11"/>
      <scheme val="minor"/>
    </font>
    <font>
      <name val="Cairo"/>
      <b val="1"/>
      <color rgb="00FFFFFF"/>
      <sz val="22"/>
    </font>
    <font>
      <name val="Cairo"/>
      <b val="1"/>
      <color rgb="00FFFFFF"/>
      <sz val="11"/>
    </font>
    <font>
      <name val="Cairo"/>
      <b val="1"/>
      <color rgb="001F3864"/>
      <sz val="13"/>
    </font>
    <font>
      <name val="Cairo"/>
      <b val="1"/>
      <color rgb="002E75B6"/>
      <sz val="12"/>
    </font>
    <font>
      <name val="Cairo"/>
      <b val="1"/>
      <color rgb="00FFFFFF"/>
      <sz val="12"/>
    </font>
    <font>
      <name val="Cairo"/>
      <color rgb="001F3864"/>
      <sz val="12"/>
    </font>
    <font>
      <name val="Cairo"/>
      <color rgb="001F3864"/>
      <sz val="10"/>
    </font>
    <font>
      <name val="Cairo"/>
      <color rgb="00000000"/>
      <sz val="10"/>
    </font>
    <font>
      <name val="Cairo"/>
      <b val="1"/>
      <color rgb="001F3864"/>
      <sz val="10"/>
    </font>
    <font>
      <name val="Cairo"/>
      <color rgb="00555555"/>
      <sz val="9"/>
    </font>
    <font>
      <name val="Cairo"/>
      <b val="1"/>
      <color rgb="00FFFFFF"/>
      <sz val="14"/>
    </font>
    <font>
      <name val="Cairo"/>
      <b val="1"/>
      <color rgb="00333333"/>
      <sz val="12"/>
    </font>
    <font>
      <name val="Cairo"/>
      <b val="1"/>
      <color rgb="001B5E20"/>
      <sz val="15"/>
    </font>
    <font>
      <name val="Cairo"/>
      <b val="1"/>
      <color rgb="00B71C1C"/>
      <sz val="15"/>
    </font>
    <font>
      <name val="Cairo"/>
      <b val="1"/>
      <color rgb="001565C0"/>
      <sz val="15"/>
    </font>
    <font>
      <name val="Cairo"/>
      <b val="1"/>
      <color rgb="00555555"/>
      <sz val="15"/>
    </font>
    <font>
      <name val="Cairo"/>
      <b val="1"/>
      <color rgb="00804000"/>
      <sz val="15"/>
    </font>
    <font>
      <name val="Cairo"/>
      <b val="1"/>
      <color rgb="00827717"/>
      <sz val="15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9C4"/>
      </patternFill>
    </fill>
    <fill>
      <patternFill patternType="solid">
        <fgColor rgb="00DEEAF1"/>
      </patternFill>
    </fill>
    <fill>
      <patternFill patternType="solid">
        <fgColor rgb="00E8F4FD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E2EFDA"/>
      </patternFill>
    </fill>
    <fill>
      <patternFill patternType="solid">
        <fgColor rgb="00FFE0E0"/>
      </patternFill>
    </fill>
    <fill>
      <patternFill patternType="solid">
        <fgColor rgb="00DEEBF7"/>
      </patternFill>
    </fill>
    <fill>
      <patternFill patternType="solid">
        <fgColor rgb="00EEEEEE"/>
      </patternFill>
    </fill>
    <fill>
      <patternFill patternType="solid">
        <fgColor rgb="00FCE4D6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left style="medium">
        <color rgb="00F4B942"/>
      </left>
      <right style="medium">
        <color rgb="00F4B942"/>
      </right>
      <top style="medium">
        <color rgb="00F4B942"/>
      </top>
      <bottom style="medium">
        <color rgb="00F4B942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3A5F8F"/>
      </left>
      <right style="thin">
        <color rgb="003A5F8F"/>
      </right>
      <top style="thin">
        <color rgb="003A5F8F"/>
      </top>
      <bottom style="thin">
        <color rgb="003A5F8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  <border>
      <left style="medium">
        <color rgb="00B71C1C"/>
      </left>
      <right style="medium">
        <color rgb="00B71C1C"/>
      </right>
      <top style="medium">
        <color rgb="00B71C1C"/>
      </top>
      <bottom style="medium">
        <color rgb="00B71C1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medium">
        <color rgb="00555555"/>
      </left>
      <right style="medium">
        <color rgb="00555555"/>
      </right>
      <top style="medium">
        <color rgb="00555555"/>
      </top>
      <bottom style="medium">
        <color rgb="00555555"/>
      </bottom>
    </border>
    <border>
      <left style="medium">
        <color rgb="00804000"/>
      </left>
      <right style="medium">
        <color rgb="00804000"/>
      </right>
      <top style="medium">
        <color rgb="00804000"/>
      </top>
      <bottom style="medium">
        <color rgb="00804000"/>
      </bottom>
    </border>
    <border>
      <left style="medium">
        <color rgb="00827717"/>
      </left>
      <right style="medium">
        <color rgb="00827717"/>
      </right>
      <top style="medium">
        <color rgb="00827717"/>
      </top>
      <bottom style="medium">
        <color rgb="0082771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3" borderId="2" applyAlignment="1" pivotButton="0" quotePrefix="0" xfId="0">
      <alignment horizontal="center" vertical="center" readingOrder="2"/>
    </xf>
    <xf numFmtId="0" fontId="3" fillId="4" borderId="3" applyAlignment="1" pivotButton="0" quotePrefix="0" xfId="0">
      <alignment horizontal="center" vertical="center" readingOrder="2"/>
    </xf>
    <xf numFmtId="0" fontId="4" fillId="5" borderId="2" applyAlignment="1" pivotButton="0" quotePrefix="0" xfId="0">
      <alignment horizontal="center" vertical="center" readingOrder="2"/>
    </xf>
    <xf numFmtId="0" fontId="5" fillId="2" borderId="4" applyAlignment="1" pivotButton="0" quotePrefix="0" xfId="0">
      <alignment horizontal="center" vertical="center" readingOrder="2"/>
    </xf>
    <xf numFmtId="0" fontId="6" fillId="5" borderId="5" applyAlignment="1" pivotButton="0" quotePrefix="0" xfId="0">
      <alignment horizontal="right" vertical="center" readingOrder="2"/>
    </xf>
    <xf numFmtId="0" fontId="2" fillId="2" borderId="6" applyAlignment="1" pivotButton="0" quotePrefix="0" xfId="0">
      <alignment horizontal="center" vertical="center" readingOrder="2"/>
    </xf>
    <xf numFmtId="164" fontId="7" fillId="6" borderId="7" applyAlignment="1" pivotButton="0" quotePrefix="0" xfId="0">
      <alignment horizontal="center" vertical="center" readingOrder="2"/>
    </xf>
    <xf numFmtId="0" fontId="7" fillId="6" borderId="7" applyAlignment="1" pivotButton="0" quotePrefix="0" xfId="0">
      <alignment horizontal="center" vertical="center" readingOrder="2"/>
    </xf>
    <xf numFmtId="165" fontId="8" fillId="7" borderId="7" applyAlignment="1" pivotButton="0" quotePrefix="0" xfId="0">
      <alignment horizontal="center" vertical="center" readingOrder="2"/>
    </xf>
    <xf numFmtId="166" fontId="9" fillId="6" borderId="7" applyAlignment="1" pivotButton="0" quotePrefix="0" xfId="0">
      <alignment horizontal="center" vertical="center" readingOrder="2"/>
    </xf>
    <xf numFmtId="0" fontId="9" fillId="7" borderId="7" applyAlignment="1" pivotButton="0" quotePrefix="0" xfId="0">
      <alignment horizontal="center" vertical="center" readingOrder="2"/>
    </xf>
    <xf numFmtId="0" fontId="10" fillId="7" borderId="7" applyAlignment="1" pivotButton="0" quotePrefix="0" xfId="0">
      <alignment horizontal="right" vertical="center" readingOrder="2"/>
    </xf>
    <xf numFmtId="165" fontId="8" fillId="8" borderId="7" applyAlignment="1" pivotButton="0" quotePrefix="0" xfId="0">
      <alignment horizontal="center" vertical="center" readingOrder="2"/>
    </xf>
    <xf numFmtId="0" fontId="9" fillId="8" borderId="7" applyAlignment="1" pivotButton="0" quotePrefix="0" xfId="0">
      <alignment horizontal="center" vertical="center" readingOrder="2"/>
    </xf>
    <xf numFmtId="0" fontId="10" fillId="8" borderId="7" applyAlignment="1" pivotButton="0" quotePrefix="0" xfId="0">
      <alignment horizontal="right" vertical="center" readingOrder="2"/>
    </xf>
    <xf numFmtId="0" fontId="11" fillId="2" borderId="4" applyAlignment="1" pivotButton="0" quotePrefix="0" xfId="0">
      <alignment horizontal="center" vertical="center" readingOrder="2"/>
    </xf>
    <xf numFmtId="0" fontId="12" fillId="9" borderId="7" applyAlignment="1" pivotButton="0" quotePrefix="0" xfId="0">
      <alignment horizontal="right" vertical="center" readingOrder="2"/>
    </xf>
    <xf numFmtId="0" fontId="13" fillId="9" borderId="8" applyAlignment="1" pivotButton="0" quotePrefix="0" xfId="0">
      <alignment horizontal="center" vertical="center" readingOrder="2"/>
    </xf>
    <xf numFmtId="0" fontId="12" fillId="10" borderId="7" applyAlignment="1" pivotButton="0" quotePrefix="0" xfId="0">
      <alignment horizontal="right" vertical="center" readingOrder="2"/>
    </xf>
    <xf numFmtId="0" fontId="14" fillId="10" borderId="9" applyAlignment="1" pivotButton="0" quotePrefix="0" xfId="0">
      <alignment horizontal="center" vertical="center" readingOrder="2"/>
    </xf>
    <xf numFmtId="0" fontId="12" fillId="11" borderId="7" applyAlignment="1" pivotButton="0" quotePrefix="0" xfId="0">
      <alignment horizontal="right" vertical="center" readingOrder="2"/>
    </xf>
    <xf numFmtId="0" fontId="15" fillId="11" borderId="10" applyAlignment="1" pivotButton="0" quotePrefix="0" xfId="0">
      <alignment horizontal="center" vertical="center" readingOrder="2"/>
    </xf>
    <xf numFmtId="0" fontId="12" fillId="12" borderId="7" applyAlignment="1" pivotButton="0" quotePrefix="0" xfId="0">
      <alignment horizontal="right" vertical="center" readingOrder="2"/>
    </xf>
    <xf numFmtId="0" fontId="16" fillId="12" borderId="11" applyAlignment="1" pivotButton="0" quotePrefix="0" xfId="0">
      <alignment horizontal="center" vertical="center" readingOrder="2"/>
    </xf>
    <xf numFmtId="0" fontId="12" fillId="13" borderId="7" applyAlignment="1" pivotButton="0" quotePrefix="0" xfId="0">
      <alignment horizontal="right" vertical="center" readingOrder="2"/>
    </xf>
    <xf numFmtId="0" fontId="17" fillId="13" borderId="12" applyAlignment="1" pivotButton="0" quotePrefix="0" xfId="0">
      <alignment horizontal="center" vertical="center" readingOrder="2"/>
    </xf>
    <xf numFmtId="0" fontId="12" fillId="4" borderId="7" applyAlignment="1" pivotButton="0" quotePrefix="0" xfId="0">
      <alignment horizontal="right" vertical="center" readingOrder="2"/>
    </xf>
    <xf numFmtId="166" fontId="18" fillId="4" borderId="13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8">
    <dxf>
      <fill>
        <patternFill patternType="solid">
          <fgColor rgb="00E2EFDA"/>
        </patternFill>
      </fill>
    </dxf>
    <dxf>
      <fill>
        <patternFill patternType="solid">
          <fgColor rgb="00FFE0E0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DE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DE7F6"/>
        </patternFill>
      </fill>
    </dxf>
    <dxf>
      <fill>
        <patternFill patternType="solid">
          <fgColor rgb="00ECECEC"/>
        </patternFill>
      </fill>
    </dxf>
    <dxf>
      <fill>
        <patternFill patternType="solid">
          <fgColor rgb="00F8F8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H43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14" customWidth="1" min="3" max="3"/>
    <col width="22" customWidth="1" min="4" max="4"/>
    <col width="14" customWidth="1" min="5" max="5"/>
    <col width="14" customWidth="1" min="6" max="6"/>
    <col width="13" customWidth="1" min="7" max="7"/>
    <col width="16" customWidth="1" min="8" max="8"/>
    <col width="3" customWidth="1" min="9" max="9"/>
  </cols>
  <sheetData>
    <row r="1" ht="54" customHeight="1">
      <c r="B1" s="1" t="inlineStr">
        <is>
          <t>سجل حضور وانصراف الموظفين</t>
        </is>
      </c>
    </row>
    <row r="2" ht="34" customHeight="1">
      <c r="B2" s="2" t="inlineStr">
        <is>
          <t>الشهر</t>
        </is>
      </c>
      <c r="C2" s="3" t="n">
        <v>6</v>
      </c>
      <c r="D2" s="4">
        <f>CHOOSE(C2,"يناير","فبراير","مارس","أبريل","مايو","يونيو","يوليو","أغسطس","سبتمبر","أكتوبر","نوفمبر","ديسمبر")</f>
        <v/>
      </c>
      <c r="E2" s="2" t="inlineStr">
        <is>
          <t>السنة</t>
        </is>
      </c>
      <c r="F2" s="3" t="n">
        <v>2026</v>
      </c>
      <c r="G2" s="5">
        <f>D2&amp;"  "&amp; F2</f>
        <v/>
      </c>
    </row>
    <row r="3" ht="30" customHeight="1">
      <c r="B3" s="2" t="inlineStr">
        <is>
          <t>اسم الموظف</t>
        </is>
      </c>
      <c r="C3" s="6" t="n"/>
      <c r="F3" s="2" t="inlineStr">
        <is>
          <t>الوظيفة / القسم</t>
        </is>
      </c>
      <c r="G3" s="6" t="n"/>
    </row>
    <row r="4" ht="30" customHeight="1">
      <c r="B4" s="7" t="inlineStr">
        <is>
          <t>التاريخ</t>
        </is>
      </c>
      <c r="C4" s="7" t="inlineStr">
        <is>
          <t>اليوم</t>
        </is>
      </c>
      <c r="D4" s="7" t="inlineStr">
        <is>
          <t>وقت الدخول</t>
        </is>
      </c>
      <c r="E4" s="7" t="inlineStr">
        <is>
          <t>وقت الخروج</t>
        </is>
      </c>
      <c r="F4" s="7" t="inlineStr">
        <is>
          <t>ساعات العمل</t>
        </is>
      </c>
      <c r="G4" s="7" t="inlineStr">
        <is>
          <t>الحالة</t>
        </is>
      </c>
      <c r="H4" s="7" t="inlineStr">
        <is>
          <t>ملاحظات</t>
        </is>
      </c>
    </row>
    <row r="5" ht="22" customHeight="1">
      <c r="B5" s="8">
        <f>DATE($F$2,$C$2,1)</f>
        <v/>
      </c>
      <c r="C5" s="9">
        <f>IF(B5="","",CHOOSE(WEEKDAY(B5,1),"الأحد","الاثنين","الثلاثاء","الأربعاء","الخميس","الجمعة","السبت"))</f>
        <v/>
      </c>
      <c r="D5" s="10" t="n"/>
      <c r="E5" s="10" t="n"/>
      <c r="F5" s="11">
        <f>IF(AND(D5&lt;&gt;"",E5&lt;&gt;""),E5-D5,"")</f>
        <v/>
      </c>
      <c r="G5" s="12" t="n"/>
      <c r="H5" s="13" t="n"/>
    </row>
    <row r="6" ht="22" customHeight="1">
      <c r="B6" s="8">
        <f>IF(B5="","",IF(MONTH(B5+1)=$C$2,B5+1,""))</f>
        <v/>
      </c>
      <c r="C6" s="9">
        <f>IF(B6="","",CHOOSE(WEEKDAY(B6,1),"الأحد","الاثنين","الثلاثاء","الأربعاء","الخميس","الجمعة","السبت"))</f>
        <v/>
      </c>
      <c r="D6" s="14" t="n"/>
      <c r="E6" s="14" t="n"/>
      <c r="F6" s="11">
        <f>IF(AND(D6&lt;&gt;"",E6&lt;&gt;""),E6-D6,"")</f>
        <v/>
      </c>
      <c r="G6" s="15" t="n"/>
      <c r="H6" s="16" t="n"/>
    </row>
    <row r="7" ht="22" customHeight="1">
      <c r="B7" s="8">
        <f>IF(B6="","",IF(MONTH(B6+1)=$C$2,B6+1,""))</f>
        <v/>
      </c>
      <c r="C7" s="9">
        <f>IF(B7="","",CHOOSE(WEEKDAY(B7,1),"الأحد","الاثنين","الثلاثاء","الأربعاء","الخميس","الجمعة","السبت"))</f>
        <v/>
      </c>
      <c r="D7" s="10" t="n"/>
      <c r="E7" s="10" t="n"/>
      <c r="F7" s="11">
        <f>IF(AND(D7&lt;&gt;"",E7&lt;&gt;""),E7-D7,"")</f>
        <v/>
      </c>
      <c r="G7" s="12" t="n"/>
      <c r="H7" s="13" t="n"/>
    </row>
    <row r="8" ht="22" customHeight="1">
      <c r="B8" s="8">
        <f>IF(B7="","",IF(MONTH(B7+1)=$C$2,B7+1,""))</f>
        <v/>
      </c>
      <c r="C8" s="9">
        <f>IF(B8="","",CHOOSE(WEEKDAY(B8,1),"الأحد","الاثنين","الثلاثاء","الأربعاء","الخميس","الجمعة","السبت"))</f>
        <v/>
      </c>
      <c r="D8" s="14" t="n"/>
      <c r="E8" s="14" t="n"/>
      <c r="F8" s="11">
        <f>IF(AND(D8&lt;&gt;"",E8&lt;&gt;""),E8-D8,"")</f>
        <v/>
      </c>
      <c r="G8" s="15" t="n"/>
      <c r="H8" s="16" t="n"/>
    </row>
    <row r="9" ht="22" customHeight="1">
      <c r="B9" s="8">
        <f>IF(B8="","",IF(MONTH(B8+1)=$C$2,B8+1,""))</f>
        <v/>
      </c>
      <c r="C9" s="9">
        <f>IF(B9="","",CHOOSE(WEEKDAY(B9,1),"الأحد","الاثنين","الثلاثاء","الأربعاء","الخميس","الجمعة","السبت"))</f>
        <v/>
      </c>
      <c r="D9" s="10" t="n"/>
      <c r="E9" s="10" t="n"/>
      <c r="F9" s="11">
        <f>IF(AND(D9&lt;&gt;"",E9&lt;&gt;""),E9-D9,"")</f>
        <v/>
      </c>
      <c r="G9" s="12" t="n"/>
      <c r="H9" s="13" t="n"/>
    </row>
    <row r="10" ht="22" customHeight="1">
      <c r="B10" s="8">
        <f>IF(B9="","",IF(MONTH(B9+1)=$C$2,B9+1,""))</f>
        <v/>
      </c>
      <c r="C10" s="9">
        <f>IF(B10="","",CHOOSE(WEEKDAY(B10,1),"الأحد","الاثنين","الثلاثاء","الأربعاء","الخميس","الجمعة","السبت"))</f>
        <v/>
      </c>
      <c r="D10" s="14" t="n"/>
      <c r="E10" s="14" t="n"/>
      <c r="F10" s="11">
        <f>IF(AND(D10&lt;&gt;"",E10&lt;&gt;""),E10-D10,"")</f>
        <v/>
      </c>
      <c r="G10" s="15" t="n"/>
      <c r="H10" s="16" t="n"/>
    </row>
    <row r="11" ht="22" customHeight="1">
      <c r="B11" s="8">
        <f>IF(B10="","",IF(MONTH(B10+1)=$C$2,B10+1,""))</f>
        <v/>
      </c>
      <c r="C11" s="9">
        <f>IF(B11="","",CHOOSE(WEEKDAY(B11,1),"الأحد","الاثنين","الثلاثاء","الأربعاء","الخميس","الجمعة","السبت"))</f>
        <v/>
      </c>
      <c r="D11" s="10" t="n"/>
      <c r="E11" s="10" t="n"/>
      <c r="F11" s="11">
        <f>IF(AND(D11&lt;&gt;"",E11&lt;&gt;""),E11-D11,"")</f>
        <v/>
      </c>
      <c r="G11" s="12" t="n"/>
      <c r="H11" s="13" t="n"/>
    </row>
    <row r="12" ht="22" customHeight="1">
      <c r="B12" s="8">
        <f>IF(B11="","",IF(MONTH(B11+1)=$C$2,B11+1,""))</f>
        <v/>
      </c>
      <c r="C12" s="9">
        <f>IF(B12="","",CHOOSE(WEEKDAY(B12,1),"الأحد","الاثنين","الثلاثاء","الأربعاء","الخميس","الجمعة","السبت"))</f>
        <v/>
      </c>
      <c r="D12" s="14" t="n"/>
      <c r="E12" s="14" t="n"/>
      <c r="F12" s="11">
        <f>IF(AND(D12&lt;&gt;"",E12&lt;&gt;""),E12-D12,"")</f>
        <v/>
      </c>
      <c r="G12" s="15" t="n"/>
      <c r="H12" s="16" t="n"/>
    </row>
    <row r="13" ht="22" customHeight="1">
      <c r="B13" s="8">
        <f>IF(B12="","",IF(MONTH(B12+1)=$C$2,B12+1,""))</f>
        <v/>
      </c>
      <c r="C13" s="9">
        <f>IF(B13="","",CHOOSE(WEEKDAY(B13,1),"الأحد","الاثنين","الثلاثاء","الأربعاء","الخميس","الجمعة","السبت"))</f>
        <v/>
      </c>
      <c r="D13" s="10" t="n"/>
      <c r="E13" s="10" t="n"/>
      <c r="F13" s="11">
        <f>IF(AND(D13&lt;&gt;"",E13&lt;&gt;""),E13-D13,"")</f>
        <v/>
      </c>
      <c r="G13" s="12" t="n"/>
      <c r="H13" s="13" t="n"/>
    </row>
    <row r="14" ht="22" customHeight="1">
      <c r="B14" s="8">
        <f>IF(B13="","",IF(MONTH(B13+1)=$C$2,B13+1,""))</f>
        <v/>
      </c>
      <c r="C14" s="9">
        <f>IF(B14="","",CHOOSE(WEEKDAY(B14,1),"الأحد","الاثنين","الثلاثاء","الأربعاء","الخميس","الجمعة","السبت"))</f>
        <v/>
      </c>
      <c r="D14" s="14" t="n"/>
      <c r="E14" s="14" t="n"/>
      <c r="F14" s="11">
        <f>IF(AND(D14&lt;&gt;"",E14&lt;&gt;""),E14-D14,"")</f>
        <v/>
      </c>
      <c r="G14" s="15" t="n"/>
      <c r="H14" s="16" t="n"/>
    </row>
    <row r="15" ht="22" customHeight="1">
      <c r="B15" s="8">
        <f>IF(B14="","",IF(MONTH(B14+1)=$C$2,B14+1,""))</f>
        <v/>
      </c>
      <c r="C15" s="9">
        <f>IF(B15="","",CHOOSE(WEEKDAY(B15,1),"الأحد","الاثنين","الثلاثاء","الأربعاء","الخميس","الجمعة","السبت"))</f>
        <v/>
      </c>
      <c r="D15" s="10" t="n"/>
      <c r="E15" s="10" t="n"/>
      <c r="F15" s="11">
        <f>IF(AND(D15&lt;&gt;"",E15&lt;&gt;""),E15-D15,"")</f>
        <v/>
      </c>
      <c r="G15" s="12" t="n"/>
      <c r="H15" s="13" t="n"/>
    </row>
    <row r="16" ht="22" customHeight="1">
      <c r="B16" s="8">
        <f>IF(B15="","",IF(MONTH(B15+1)=$C$2,B15+1,""))</f>
        <v/>
      </c>
      <c r="C16" s="9">
        <f>IF(B16="","",CHOOSE(WEEKDAY(B16,1),"الأحد","الاثنين","الثلاثاء","الأربعاء","الخميس","الجمعة","السبت"))</f>
        <v/>
      </c>
      <c r="D16" s="14" t="n"/>
      <c r="E16" s="14" t="n"/>
      <c r="F16" s="11">
        <f>IF(AND(D16&lt;&gt;"",E16&lt;&gt;""),E16-D16,"")</f>
        <v/>
      </c>
      <c r="G16" s="15" t="n"/>
      <c r="H16" s="16" t="n"/>
    </row>
    <row r="17" ht="22" customHeight="1">
      <c r="B17" s="8">
        <f>IF(B16="","",IF(MONTH(B16+1)=$C$2,B16+1,""))</f>
        <v/>
      </c>
      <c r="C17" s="9">
        <f>IF(B17="","",CHOOSE(WEEKDAY(B17,1),"الأحد","الاثنين","الثلاثاء","الأربعاء","الخميس","الجمعة","السبت"))</f>
        <v/>
      </c>
      <c r="D17" s="10" t="n"/>
      <c r="E17" s="10" t="n"/>
      <c r="F17" s="11">
        <f>IF(AND(D17&lt;&gt;"",E17&lt;&gt;""),E17-D17,"")</f>
        <v/>
      </c>
      <c r="G17" s="12" t="n"/>
      <c r="H17" s="13" t="n"/>
    </row>
    <row r="18" ht="22" customHeight="1">
      <c r="B18" s="8">
        <f>IF(B17="","",IF(MONTH(B17+1)=$C$2,B17+1,""))</f>
        <v/>
      </c>
      <c r="C18" s="9">
        <f>IF(B18="","",CHOOSE(WEEKDAY(B18,1),"الأحد","الاثنين","الثلاثاء","الأربعاء","الخميس","الجمعة","السبت"))</f>
        <v/>
      </c>
      <c r="D18" s="14" t="n"/>
      <c r="E18" s="14" t="n"/>
      <c r="F18" s="11">
        <f>IF(AND(D18&lt;&gt;"",E18&lt;&gt;""),E18-D18,"")</f>
        <v/>
      </c>
      <c r="G18" s="15" t="n"/>
      <c r="H18" s="16" t="n"/>
    </row>
    <row r="19" ht="22" customHeight="1">
      <c r="B19" s="8">
        <f>IF(B18="","",IF(MONTH(B18+1)=$C$2,B18+1,""))</f>
        <v/>
      </c>
      <c r="C19" s="9">
        <f>IF(B19="","",CHOOSE(WEEKDAY(B19,1),"الأحد","الاثنين","الثلاثاء","الأربعاء","الخميس","الجمعة","السبت"))</f>
        <v/>
      </c>
      <c r="D19" s="10" t="n"/>
      <c r="E19" s="10" t="n"/>
      <c r="F19" s="11">
        <f>IF(AND(D19&lt;&gt;"",E19&lt;&gt;""),E19-D19,"")</f>
        <v/>
      </c>
      <c r="G19" s="12" t="n"/>
      <c r="H19" s="13" t="n"/>
    </row>
    <row r="20" ht="22" customHeight="1">
      <c r="B20" s="8">
        <f>IF(B19="","",IF(MONTH(B19+1)=$C$2,B19+1,""))</f>
        <v/>
      </c>
      <c r="C20" s="9">
        <f>IF(B20="","",CHOOSE(WEEKDAY(B20,1),"الأحد","الاثنين","الثلاثاء","الأربعاء","الخميس","الجمعة","السبت"))</f>
        <v/>
      </c>
      <c r="D20" s="14" t="n"/>
      <c r="E20" s="14" t="n"/>
      <c r="F20" s="11">
        <f>IF(AND(D20&lt;&gt;"",E20&lt;&gt;""),E20-D20,"")</f>
        <v/>
      </c>
      <c r="G20" s="15" t="n"/>
      <c r="H20" s="16" t="n"/>
    </row>
    <row r="21" ht="22" customHeight="1">
      <c r="B21" s="8">
        <f>IF(B20="","",IF(MONTH(B20+1)=$C$2,B20+1,""))</f>
        <v/>
      </c>
      <c r="C21" s="9">
        <f>IF(B21="","",CHOOSE(WEEKDAY(B21,1),"الأحد","الاثنين","الثلاثاء","الأربعاء","الخميس","الجمعة","السبت"))</f>
        <v/>
      </c>
      <c r="D21" s="10" t="n"/>
      <c r="E21" s="10" t="n"/>
      <c r="F21" s="11">
        <f>IF(AND(D21&lt;&gt;"",E21&lt;&gt;""),E21-D21,"")</f>
        <v/>
      </c>
      <c r="G21" s="12" t="n"/>
      <c r="H21" s="13" t="n"/>
    </row>
    <row r="22" ht="22" customHeight="1">
      <c r="B22" s="8">
        <f>IF(B21="","",IF(MONTH(B21+1)=$C$2,B21+1,""))</f>
        <v/>
      </c>
      <c r="C22" s="9">
        <f>IF(B22="","",CHOOSE(WEEKDAY(B22,1),"الأحد","الاثنين","الثلاثاء","الأربعاء","الخميس","الجمعة","السبت"))</f>
        <v/>
      </c>
      <c r="D22" s="14" t="n"/>
      <c r="E22" s="14" t="n"/>
      <c r="F22" s="11">
        <f>IF(AND(D22&lt;&gt;"",E22&lt;&gt;""),E22-D22,"")</f>
        <v/>
      </c>
      <c r="G22" s="15" t="n"/>
      <c r="H22" s="16" t="n"/>
    </row>
    <row r="23" ht="22" customHeight="1">
      <c r="B23" s="8">
        <f>IF(B22="","",IF(MONTH(B22+1)=$C$2,B22+1,""))</f>
        <v/>
      </c>
      <c r="C23" s="9">
        <f>IF(B23="","",CHOOSE(WEEKDAY(B23,1),"الأحد","الاثنين","الثلاثاء","الأربعاء","الخميس","الجمعة","السبت"))</f>
        <v/>
      </c>
      <c r="D23" s="10" t="n"/>
      <c r="E23" s="10" t="n"/>
      <c r="F23" s="11">
        <f>IF(AND(D23&lt;&gt;"",E23&lt;&gt;""),E23-D23,"")</f>
        <v/>
      </c>
      <c r="G23" s="12" t="n"/>
      <c r="H23" s="13" t="n"/>
    </row>
    <row r="24" ht="22" customHeight="1">
      <c r="B24" s="8">
        <f>IF(B23="","",IF(MONTH(B23+1)=$C$2,B23+1,""))</f>
        <v/>
      </c>
      <c r="C24" s="9">
        <f>IF(B24="","",CHOOSE(WEEKDAY(B24,1),"الأحد","الاثنين","الثلاثاء","الأربعاء","الخميس","الجمعة","السبت"))</f>
        <v/>
      </c>
      <c r="D24" s="14" t="n"/>
      <c r="E24" s="14" t="n"/>
      <c r="F24" s="11">
        <f>IF(AND(D24&lt;&gt;"",E24&lt;&gt;""),E24-D24,"")</f>
        <v/>
      </c>
      <c r="G24" s="15" t="n"/>
      <c r="H24" s="16" t="n"/>
    </row>
    <row r="25" ht="22" customHeight="1">
      <c r="B25" s="8">
        <f>IF(B24="","",IF(MONTH(B24+1)=$C$2,B24+1,""))</f>
        <v/>
      </c>
      <c r="C25" s="9">
        <f>IF(B25="","",CHOOSE(WEEKDAY(B25,1),"الأحد","الاثنين","الثلاثاء","الأربعاء","الخميس","الجمعة","السبت"))</f>
        <v/>
      </c>
      <c r="D25" s="10" t="n"/>
      <c r="E25" s="10" t="n"/>
      <c r="F25" s="11">
        <f>IF(AND(D25&lt;&gt;"",E25&lt;&gt;""),E25-D25,"")</f>
        <v/>
      </c>
      <c r="G25" s="12" t="n"/>
      <c r="H25" s="13" t="n"/>
    </row>
    <row r="26" ht="22" customHeight="1">
      <c r="B26" s="8">
        <f>IF(B25="","",IF(MONTH(B25+1)=$C$2,B25+1,""))</f>
        <v/>
      </c>
      <c r="C26" s="9">
        <f>IF(B26="","",CHOOSE(WEEKDAY(B26,1),"الأحد","الاثنين","الثلاثاء","الأربعاء","الخميس","الجمعة","السبت"))</f>
        <v/>
      </c>
      <c r="D26" s="14" t="n"/>
      <c r="E26" s="14" t="n"/>
      <c r="F26" s="11">
        <f>IF(AND(D26&lt;&gt;"",E26&lt;&gt;""),E26-D26,"")</f>
        <v/>
      </c>
      <c r="G26" s="15" t="n"/>
      <c r="H26" s="16" t="n"/>
    </row>
    <row r="27" ht="22" customHeight="1">
      <c r="B27" s="8">
        <f>IF(B26="","",IF(MONTH(B26+1)=$C$2,B26+1,""))</f>
        <v/>
      </c>
      <c r="C27" s="9">
        <f>IF(B27="","",CHOOSE(WEEKDAY(B27,1),"الأحد","الاثنين","الثلاثاء","الأربعاء","الخميس","الجمعة","السبت"))</f>
        <v/>
      </c>
      <c r="D27" s="10" t="n"/>
      <c r="E27" s="10" t="n"/>
      <c r="F27" s="11">
        <f>IF(AND(D27&lt;&gt;"",E27&lt;&gt;""),E27-D27,"")</f>
        <v/>
      </c>
      <c r="G27" s="12" t="n"/>
      <c r="H27" s="13" t="n"/>
    </row>
    <row r="28" ht="22" customHeight="1">
      <c r="B28" s="8">
        <f>IF(B27="","",IF(MONTH(B27+1)=$C$2,B27+1,""))</f>
        <v/>
      </c>
      <c r="C28" s="9">
        <f>IF(B28="","",CHOOSE(WEEKDAY(B28,1),"الأحد","الاثنين","الثلاثاء","الأربعاء","الخميس","الجمعة","السبت"))</f>
        <v/>
      </c>
      <c r="D28" s="14" t="n"/>
      <c r="E28" s="14" t="n"/>
      <c r="F28" s="11">
        <f>IF(AND(D28&lt;&gt;"",E28&lt;&gt;""),E28-D28,"")</f>
        <v/>
      </c>
      <c r="G28" s="15" t="n"/>
      <c r="H28" s="16" t="n"/>
    </row>
    <row r="29" ht="22" customHeight="1">
      <c r="B29" s="8">
        <f>IF(B28="","",IF(MONTH(B28+1)=$C$2,B28+1,""))</f>
        <v/>
      </c>
      <c r="C29" s="9">
        <f>IF(B29="","",CHOOSE(WEEKDAY(B29,1),"الأحد","الاثنين","الثلاثاء","الأربعاء","الخميس","الجمعة","السبت"))</f>
        <v/>
      </c>
      <c r="D29" s="10" t="n"/>
      <c r="E29" s="10" t="n"/>
      <c r="F29" s="11">
        <f>IF(AND(D29&lt;&gt;"",E29&lt;&gt;""),E29-D29,"")</f>
        <v/>
      </c>
      <c r="G29" s="12" t="n"/>
      <c r="H29" s="13" t="n"/>
    </row>
    <row r="30" ht="22" customHeight="1">
      <c r="B30" s="8">
        <f>IF(B29="","",IF(MONTH(B29+1)=$C$2,B29+1,""))</f>
        <v/>
      </c>
      <c r="C30" s="9">
        <f>IF(B30="","",CHOOSE(WEEKDAY(B30,1),"الأحد","الاثنين","الثلاثاء","الأربعاء","الخميس","الجمعة","السبت"))</f>
        <v/>
      </c>
      <c r="D30" s="14" t="n"/>
      <c r="E30" s="14" t="n"/>
      <c r="F30" s="11">
        <f>IF(AND(D30&lt;&gt;"",E30&lt;&gt;""),E30-D30,"")</f>
        <v/>
      </c>
      <c r="G30" s="15" t="n"/>
      <c r="H30" s="16" t="n"/>
    </row>
    <row r="31" ht="22" customHeight="1">
      <c r="B31" s="8">
        <f>IF(B30="","",IF(MONTH(B30+1)=$C$2,B30+1,""))</f>
        <v/>
      </c>
      <c r="C31" s="9">
        <f>IF(B31="","",CHOOSE(WEEKDAY(B31,1),"الأحد","الاثنين","الثلاثاء","الأربعاء","الخميس","الجمعة","السبت"))</f>
        <v/>
      </c>
      <c r="D31" s="10" t="n"/>
      <c r="E31" s="10" t="n"/>
      <c r="F31" s="11">
        <f>IF(AND(D31&lt;&gt;"",E31&lt;&gt;""),E31-D31,"")</f>
        <v/>
      </c>
      <c r="G31" s="12" t="n"/>
      <c r="H31" s="13" t="n"/>
    </row>
    <row r="32" ht="22" customHeight="1">
      <c r="B32" s="8">
        <f>IF(B31="","",IF(MONTH(B31+1)=$C$2,B31+1,""))</f>
        <v/>
      </c>
      <c r="C32" s="9">
        <f>IF(B32="","",CHOOSE(WEEKDAY(B32,1),"الأحد","الاثنين","الثلاثاء","الأربعاء","الخميس","الجمعة","السبت"))</f>
        <v/>
      </c>
      <c r="D32" s="14" t="n"/>
      <c r="E32" s="14" t="n"/>
      <c r="F32" s="11">
        <f>IF(AND(D32&lt;&gt;"",E32&lt;&gt;""),E32-D32,"")</f>
        <v/>
      </c>
      <c r="G32" s="15" t="n"/>
      <c r="H32" s="16" t="n"/>
    </row>
    <row r="33" ht="22" customHeight="1">
      <c r="B33" s="8">
        <f>IF(B32="","",IF(MONTH(B32+1)=$C$2,B32+1,""))</f>
        <v/>
      </c>
      <c r="C33" s="9">
        <f>IF(B33="","",CHOOSE(WEEKDAY(B33,1),"الأحد","الاثنين","الثلاثاء","الأربعاء","الخميس","الجمعة","السبت"))</f>
        <v/>
      </c>
      <c r="D33" s="10" t="n"/>
      <c r="E33" s="10" t="n"/>
      <c r="F33" s="11">
        <f>IF(AND(D33&lt;&gt;"",E33&lt;&gt;""),E33-D33,"")</f>
        <v/>
      </c>
      <c r="G33" s="12" t="n"/>
      <c r="H33" s="13" t="n"/>
    </row>
    <row r="34" ht="22" customHeight="1">
      <c r="B34" s="8">
        <f>IF(B33="","",IF(MONTH(B33+1)=$C$2,B33+1,""))</f>
        <v/>
      </c>
      <c r="C34" s="9">
        <f>IF(B34="","",CHOOSE(WEEKDAY(B34,1),"الأحد","الاثنين","الثلاثاء","الأربعاء","الخميس","الجمعة","السبت"))</f>
        <v/>
      </c>
      <c r="D34" s="14" t="n"/>
      <c r="E34" s="14" t="n"/>
      <c r="F34" s="11">
        <f>IF(AND(D34&lt;&gt;"",E34&lt;&gt;""),E34-D34,"")</f>
        <v/>
      </c>
      <c r="G34" s="15" t="n"/>
      <c r="H34" s="16" t="n"/>
    </row>
    <row r="35" ht="22" customHeight="1">
      <c r="B35" s="8">
        <f>IF(B34="","",IF(MONTH(B34+1)=$C$2,B34+1,""))</f>
        <v/>
      </c>
      <c r="C35" s="9">
        <f>IF(B35="","",CHOOSE(WEEKDAY(B35,1),"الأحد","الاثنين","الثلاثاء","الأربعاء","الخميس","الجمعة","السبت"))</f>
        <v/>
      </c>
      <c r="D35" s="10" t="n"/>
      <c r="E35" s="10" t="n"/>
      <c r="F35" s="11">
        <f>IF(AND(D35&lt;&gt;"",E35&lt;&gt;""),E35-D35,"")</f>
        <v/>
      </c>
      <c r="G35" s="12" t="n"/>
      <c r="H35" s="13" t="n"/>
    </row>
    <row r="36" ht="22" customHeight="1"/>
    <row r="37">
      <c r="B37" s="17" t="inlineStr">
        <is>
          <t>ملخص الشهر</t>
        </is>
      </c>
    </row>
    <row r="38" ht="27" customHeight="1">
      <c r="B38" s="18" t="inlineStr">
        <is>
          <t>أيام الحضور</t>
        </is>
      </c>
      <c r="F38" s="19">
        <f>COUNTIF(G5:G35,"حضور")</f>
        <v/>
      </c>
    </row>
    <row r="39" ht="27" customHeight="1">
      <c r="B39" s="20" t="inlineStr">
        <is>
          <t>أيام الغياب</t>
        </is>
      </c>
      <c r="F39" s="21">
        <f>COUNTIF(G5:G35,"غياب")</f>
        <v/>
      </c>
    </row>
    <row r="40" ht="27" customHeight="1">
      <c r="B40" s="22" t="inlineStr">
        <is>
          <t>أيام الإجازة</t>
        </is>
      </c>
      <c r="F40" s="23">
        <f>COUNTIF(G5:G35,"إجازة")</f>
        <v/>
      </c>
    </row>
    <row r="41" ht="27" customHeight="1">
      <c r="B41" s="24" t="inlineStr">
        <is>
          <t>أيام الترك</t>
        </is>
      </c>
      <c r="F41" s="25">
        <f>COUNTIF(G5:G35,"ترك")</f>
        <v/>
      </c>
    </row>
    <row r="42" ht="27" customHeight="1">
      <c r="B42" s="26" t="inlineStr">
        <is>
          <t>مستأذن</t>
        </is>
      </c>
      <c r="F42" s="27">
        <f>COUNTIF(G5:G35,"مستأذن")</f>
        <v/>
      </c>
    </row>
    <row r="43" ht="27" customHeight="1">
      <c r="B43" s="28" t="inlineStr">
        <is>
          <t>إجمالي ساعات العمل</t>
        </is>
      </c>
      <c r="F43" s="29">
        <f>IFERROR(SUM(F5:F35),0)</f>
        <v/>
      </c>
    </row>
    <row r="44" ht="27" customHeight="1"/>
    <row r="45" ht="27" customHeight="1"/>
    <row r="46" ht="27" customHeight="1"/>
    <row r="47" ht="27" customHeight="1"/>
    <row r="48" ht="27" customHeight="1"/>
    <row r="49" ht="27" customHeight="1"/>
    <row r="50" ht="27" customHeight="1"/>
    <row r="51" ht="27" customHeight="1"/>
    <row r="52" ht="27" customHeight="1"/>
    <row r="53" ht="27" customHeight="1"/>
    <row r="54" ht="27" customHeight="1"/>
    <row r="55" ht="27" customHeight="1"/>
  </sheetData>
  <mergeCells count="17">
    <mergeCell ref="F38:H38"/>
    <mergeCell ref="B40:E40"/>
    <mergeCell ref="B41:E41"/>
    <mergeCell ref="F42:H42"/>
    <mergeCell ref="B1:H1"/>
    <mergeCell ref="G2:H2"/>
    <mergeCell ref="F39:H39"/>
    <mergeCell ref="B43:E43"/>
    <mergeCell ref="F41:H41"/>
    <mergeCell ref="B38:E38"/>
    <mergeCell ref="B39:E39"/>
    <mergeCell ref="C3:E3"/>
    <mergeCell ref="F40:H40"/>
    <mergeCell ref="F43:H43"/>
    <mergeCell ref="B42:E42"/>
    <mergeCell ref="B37:H37"/>
    <mergeCell ref="G3:H3"/>
  </mergeCells>
  <conditionalFormatting sqref="B5:H35">
    <cfRule type="expression" priority="1" dxfId="0">
      <formula>=$G5="حضور"</formula>
    </cfRule>
    <cfRule type="expression" priority="2" dxfId="1">
      <formula>=$G5="غياب"</formula>
    </cfRule>
    <cfRule type="expression" priority="3" dxfId="2">
      <formula>=$G5="ترك"</formula>
    </cfRule>
    <cfRule type="expression" priority="4" dxfId="3">
      <formula>=$G5="إجازة"</formula>
    </cfRule>
    <cfRule type="expression" priority="5" dxfId="4">
      <formula>=$G5="مستأذن"</formula>
    </cfRule>
    <cfRule type="expression" priority="6" dxfId="5">
      <formula>=$G5="عطلة رسمية"</formula>
    </cfRule>
    <cfRule type="expression" priority="7" dxfId="6">
      <formula>=OR(WEEKDAY($B5,1)=6,WEEKDAY($B5,1)=7)</formula>
    </cfRule>
    <cfRule type="expression" priority="8" dxfId="7">
      <formula>=$B5=""</formula>
    </cfRule>
  </conditionalFormatting>
  <dataValidations count="2">
    <dataValidation sqref="C2" showDropDown="0" showInputMessage="0" showErrorMessage="0" allowBlank="0" type="list">
      <formula1>"1,2,3,4,5,6,7,8,9,10,11,12"</formula1>
    </dataValidation>
    <dataValidation sqref="G5:G35" showDropDown="0" showInputMessage="1" showErrorMessage="0" allowBlank="1" promptTitle="الحالة" prompt="حضور | غياب | ترك | إجازة | مستأذن | عطلة رسمية" type="list">
      <formula1>"حضور,غياب,ترك,إجازة,مستأذن,عطلة رسمية"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2026-06-02T17:33:39Z</dcterms:created>
  <dcterms:modified xsi:type="dcterms:W3CDTF">2026-06-02T17:33:39Z</dcterms:modified>
</cp:coreProperties>
</file>