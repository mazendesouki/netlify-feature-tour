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تابعة الحضور والانصراف" sheetId="1" state="visible" r:id="rId1"/>
  </sheets>
  <definedNames>
    <definedName name="_xlnm._FilterDatabase" localSheetId="0" hidden="1">'متابعة الحضور والانصراف'!$A$5:$AO$205</definedName>
    <definedName name="_xlnm.Print_Titles" localSheetId="0">'متابعة الحضور والانصراف'!$1:$5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"/>
    <numFmt numFmtId="165" formatCode="0.0&quot;%&quot;"/>
  </numFmts>
  <fonts count="28">
    <font>
      <name val="Calibri"/>
      <family val="2"/>
      <color theme="1"/>
      <sz val="11"/>
      <scheme val="minor"/>
    </font>
    <font>
      <name val="Cairo"/>
      <b val="1"/>
      <color rgb="00FFFFFF"/>
      <sz val="22"/>
    </font>
    <font>
      <name val="Cairo"/>
      <b val="1"/>
      <color rgb="00FFFFFF"/>
      <sz val="11"/>
    </font>
    <font>
      <name val="Cairo"/>
      <b val="1"/>
      <color rgb="001F3864"/>
      <sz val="13"/>
    </font>
    <font>
      <name val="Cairo"/>
      <b val="1"/>
      <color rgb="002E75B6"/>
      <sz val="12"/>
    </font>
    <font>
      <name val="Cairo"/>
      <b val="1"/>
      <color rgb="00FFFFFF"/>
      <sz val="12"/>
    </font>
    <font>
      <name val="Cairo"/>
      <b val="1"/>
      <color rgb="00FFFFFF"/>
      <sz val="9"/>
    </font>
    <font>
      <name val="Cairo"/>
      <b val="1"/>
      <color rgb="001F3864"/>
      <sz val="9"/>
    </font>
    <font>
      <name val="Cairo"/>
      <color rgb="00555555"/>
      <sz val="8"/>
    </font>
    <font>
      <name val="Cairo"/>
      <color rgb="00888888"/>
      <sz val="9"/>
    </font>
    <font>
      <name val="Cairo"/>
      <b val="1"/>
      <color rgb="001F3864"/>
      <sz val="10"/>
    </font>
    <font>
      <name val="Cairo"/>
      <color rgb="00000000"/>
      <sz val="11"/>
    </font>
    <font>
      <name val="Cairo"/>
      <color rgb="00333333"/>
      <sz val="10"/>
    </font>
    <font>
      <name val="Cairo"/>
      <color rgb="00444444"/>
      <sz val="9"/>
    </font>
    <font>
      <name val="Cairo"/>
      <b val="1"/>
      <color rgb="00333333"/>
      <sz val="8"/>
    </font>
    <font>
      <name val="Cairo"/>
      <b val="1"/>
      <color rgb="001B5E20"/>
      <sz val="11"/>
    </font>
    <font>
      <name val="Cairo"/>
      <b val="1"/>
      <color rgb="00B71C1C"/>
      <sz val="11"/>
    </font>
    <font>
      <name val="Cairo"/>
      <b val="1"/>
      <color rgb="001F3864"/>
      <sz val="11"/>
    </font>
    <font>
      <name val="Cairo"/>
      <b val="1"/>
      <color rgb="001B5E20"/>
      <sz val="9"/>
    </font>
    <font>
      <name val="Cairo"/>
      <b val="1"/>
      <color rgb="001B5E20"/>
      <sz val="12"/>
    </font>
    <font>
      <name val="Cairo"/>
      <b val="1"/>
      <color rgb="00B71C1C"/>
      <sz val="12"/>
    </font>
    <font>
      <name val="Cairo"/>
      <b val="1"/>
      <color rgb="001F3864"/>
      <sz val="12"/>
    </font>
    <font>
      <name val="Cairo"/>
      <b val="1"/>
      <color rgb="00B71C1C"/>
      <sz val="9"/>
    </font>
    <font>
      <name val="Cairo"/>
      <b val="1"/>
      <color rgb="00555555"/>
      <sz val="9"/>
    </font>
    <font>
      <name val="Cairo"/>
      <b val="1"/>
      <color rgb="001565C0"/>
      <sz val="9"/>
    </font>
    <font>
      <name val="Cairo"/>
      <b val="1"/>
      <color rgb="00BF360C"/>
      <sz val="9"/>
    </font>
    <font>
      <name val="Cairo"/>
      <b val="1"/>
      <color rgb="004A148C"/>
      <sz val="9"/>
    </font>
    <font>
      <name val="Cairo"/>
      <b val="1"/>
      <color rgb="00C00000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9C4"/>
      </patternFill>
    </fill>
    <fill>
      <patternFill patternType="solid">
        <fgColor rgb="00DEEAF1"/>
      </patternFill>
    </fill>
    <fill>
      <patternFill patternType="solid">
        <fgColor rgb="00F5F5F5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7FBFF"/>
      </patternFill>
    </fill>
    <fill>
      <patternFill patternType="solid">
        <fgColor rgb="00E8F5E9"/>
      </patternFill>
    </fill>
    <fill>
      <patternFill patternType="solid">
        <fgColor rgb="00EEEEEE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FCCCC"/>
      </patternFill>
    </fill>
  </fills>
  <borders count="1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medium">
        <color rgb="00F4B942"/>
      </left>
      <right style="medium">
        <color rgb="00F4B942"/>
      </right>
      <top style="medium">
        <color rgb="00F4B942"/>
      </top>
      <bottom style="medium">
        <color rgb="00F4B942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70AD47"/>
      </left>
      <right style="medium">
        <color rgb="0070AD47"/>
      </right>
      <top style="medium">
        <color rgb="0070AD47"/>
      </top>
      <bottom style="medium">
        <color rgb="0070AD47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70AD47"/>
      </left>
      <right style="thin">
        <color rgb="0070AD47"/>
      </right>
      <top style="thin">
        <color rgb="0070AD47"/>
      </top>
      <bottom style="thin">
        <color rgb="0070AD47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3" borderId="2" applyAlignment="1" pivotButton="0" quotePrefix="0" xfId="0">
      <alignment horizontal="center" vertical="center" readingOrder="2"/>
    </xf>
    <xf numFmtId="0" fontId="3" fillId="4" borderId="3" applyAlignment="1" pivotButton="0" quotePrefix="0" xfId="0">
      <alignment horizontal="center" vertical="center" readingOrder="2"/>
    </xf>
    <xf numFmtId="0" fontId="4" fillId="5" borderId="2" applyAlignment="1" pivotButton="0" quotePrefix="0" xfId="0">
      <alignment horizontal="center" vertical="center" readingOrder="2"/>
    </xf>
    <xf numFmtId="0" fontId="5" fillId="2" borderId="4" applyAlignment="1" pivotButton="0" quotePrefix="0" xfId="0">
      <alignment horizontal="center" vertical="center" readingOrder="2"/>
    </xf>
    <xf numFmtId="0" fontId="6" fillId="2" borderId="5" applyAlignment="1" pivotButton="0" quotePrefix="0" xfId="0">
      <alignment horizontal="center" vertical="center" wrapText="1" readingOrder="2"/>
    </xf>
    <xf numFmtId="164" fontId="7" fillId="5" borderId="2" applyAlignment="1" pivotButton="0" quotePrefix="0" xfId="0">
      <alignment horizontal="center" vertical="center" readingOrder="2"/>
    </xf>
    <xf numFmtId="0" fontId="8" fillId="6" borderId="6" applyAlignment="1" pivotButton="0" quotePrefix="0" xfId="0">
      <alignment horizontal="center" vertical="center" readingOrder="2"/>
    </xf>
    <xf numFmtId="0" fontId="2" fillId="2" borderId="7" applyAlignment="1" pivotButton="0" quotePrefix="0" xfId="0">
      <alignment horizontal="center" vertical="center" readingOrder="2"/>
    </xf>
    <xf numFmtId="0" fontId="6" fillId="3" borderId="7" applyAlignment="1" pivotButton="0" quotePrefix="0" xfId="0">
      <alignment horizontal="center" vertical="center" readingOrder="2"/>
    </xf>
    <xf numFmtId="0" fontId="9" fillId="7" borderId="8" applyAlignment="1" pivotButton="0" quotePrefix="0" xfId="0">
      <alignment horizontal="center" vertical="center" readingOrder="2"/>
    </xf>
    <xf numFmtId="49" fontId="10" fillId="8" borderId="6" applyAlignment="1" pivotButton="0" quotePrefix="0" xfId="0">
      <alignment horizontal="center" vertical="center" readingOrder="2"/>
    </xf>
    <xf numFmtId="0" fontId="11" fillId="8" borderId="6" applyAlignment="1" pivotButton="0" quotePrefix="0" xfId="0">
      <alignment horizontal="right" vertical="center" readingOrder="2"/>
    </xf>
    <xf numFmtId="0" fontId="12" fillId="8" borderId="6" applyAlignment="1" pivotButton="0" quotePrefix="0" xfId="0">
      <alignment horizontal="center" vertical="center" readingOrder="2"/>
    </xf>
    <xf numFmtId="0" fontId="10" fillId="8" borderId="6" applyAlignment="1" pivotButton="0" quotePrefix="0" xfId="0">
      <alignment horizontal="center" vertical="center" readingOrder="2"/>
    </xf>
    <xf numFmtId="0" fontId="13" fillId="8" borderId="6" applyAlignment="1" pivotButton="0" quotePrefix="0" xfId="0">
      <alignment horizontal="right" vertical="center" readingOrder="2"/>
    </xf>
    <xf numFmtId="0" fontId="14" fillId="8" borderId="6" applyAlignment="1" pivotButton="0" quotePrefix="0" xfId="0">
      <alignment horizontal="center" vertical="center" readingOrder="2"/>
    </xf>
    <xf numFmtId="0" fontId="15" fillId="9" borderId="9" applyAlignment="1" pivotButton="0" quotePrefix="0" xfId="0">
      <alignment horizontal="center" vertical="center" readingOrder="2"/>
    </xf>
    <xf numFmtId="0" fontId="16" fillId="10" borderId="10" applyAlignment="1" pivotButton="0" quotePrefix="0" xfId="0">
      <alignment horizontal="center" vertical="center" readingOrder="2"/>
    </xf>
    <xf numFmtId="165" fontId="17" fillId="5" borderId="11" applyAlignment="1" pivotButton="0" quotePrefix="0" xfId="0">
      <alignment horizontal="center" vertical="center" readingOrder="2"/>
    </xf>
    <xf numFmtId="49" fontId="10" fillId="11" borderId="6" applyAlignment="1" pivotButton="0" quotePrefix="0" xfId="0">
      <alignment horizontal="center" vertical="center" readingOrder="2"/>
    </xf>
    <xf numFmtId="0" fontId="11" fillId="11" borderId="6" applyAlignment="1" pivotButton="0" quotePrefix="0" xfId="0">
      <alignment horizontal="right" vertical="center" readingOrder="2"/>
    </xf>
    <xf numFmtId="0" fontId="12" fillId="11" borderId="6" applyAlignment="1" pivotButton="0" quotePrefix="0" xfId="0">
      <alignment horizontal="center" vertical="center" readingOrder="2"/>
    </xf>
    <xf numFmtId="0" fontId="10" fillId="11" borderId="6" applyAlignment="1" pivotButton="0" quotePrefix="0" xfId="0">
      <alignment horizontal="center" vertical="center" readingOrder="2"/>
    </xf>
    <xf numFmtId="0" fontId="13" fillId="11" borderId="6" applyAlignment="1" pivotButton="0" quotePrefix="0" xfId="0">
      <alignment horizontal="right" vertical="center" readingOrder="2"/>
    </xf>
    <xf numFmtId="0" fontId="14" fillId="11" borderId="6" applyAlignment="1" pivotButton="0" quotePrefix="0" xfId="0">
      <alignment horizontal="center" vertical="center" readingOrder="2"/>
    </xf>
    <xf numFmtId="0" fontId="18" fillId="12" borderId="12" applyAlignment="1" pivotButton="0" quotePrefix="0" xfId="0">
      <alignment horizontal="center" vertical="center" readingOrder="2"/>
    </xf>
    <xf numFmtId="0" fontId="19" fillId="9" borderId="9" applyAlignment="1" pivotButton="0" quotePrefix="0" xfId="0">
      <alignment horizontal="center" vertical="center" readingOrder="2"/>
    </xf>
    <xf numFmtId="0" fontId="20" fillId="10" borderId="10" applyAlignment="1" pivotButton="0" quotePrefix="0" xfId="0">
      <alignment horizontal="center" vertical="center" readingOrder="2"/>
    </xf>
    <xf numFmtId="165" fontId="21" fillId="5" borderId="11" applyAlignment="1" pivotButton="0" quotePrefix="0" xfId="0">
      <alignment horizontal="center" vertical="center" readingOrder="2"/>
    </xf>
    <xf numFmtId="0" fontId="18" fillId="9" borderId="6" applyAlignment="1" pivotButton="0" quotePrefix="0" xfId="0">
      <alignment horizontal="center" vertical="center" readingOrder="2"/>
    </xf>
    <xf numFmtId="0" fontId="22" fillId="10" borderId="6" applyAlignment="1" pivotButton="0" quotePrefix="0" xfId="0">
      <alignment horizontal="center" vertical="center" readingOrder="2"/>
    </xf>
    <xf numFmtId="0" fontId="23" fillId="13" borderId="6" applyAlignment="1" pivotButton="0" quotePrefix="0" xfId="0">
      <alignment horizontal="center" vertical="center" readingOrder="2"/>
    </xf>
    <xf numFmtId="0" fontId="24" fillId="14" borderId="6" applyAlignment="1" pivotButton="0" quotePrefix="0" xfId="0">
      <alignment horizontal="center" vertical="center" readingOrder="2"/>
    </xf>
    <xf numFmtId="0" fontId="25" fillId="15" borderId="6" applyAlignment="1" pivotButton="0" quotePrefix="0" xfId="0">
      <alignment horizontal="center" vertical="center" readingOrder="2"/>
    </xf>
    <xf numFmtId="0" fontId="26" fillId="16" borderId="6" applyAlignment="1" pivotButton="0" quotePrefix="0" xfId="0">
      <alignment horizontal="center" vertical="center" readingOrder="2"/>
    </xf>
    <xf numFmtId="0" fontId="27" fillId="17" borderId="6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2">
    <dxf>
      <font>
        <name val="Cairo"/>
        <b val="1"/>
        <color rgb="00C00000"/>
      </font>
      <fill>
        <patternFill patternType="solid">
          <fgColor rgb="00FFCCCC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E0E0"/>
        </patternFill>
      </fill>
    </dxf>
    <dxf>
      <fill>
        <patternFill patternType="solid">
          <fgColor rgb="00EEEEEE"/>
        </patternFill>
      </fill>
    </dxf>
    <dxf>
      <fill>
        <patternFill patternType="solid">
          <fgColor rgb="00DEEB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DE7F6"/>
        </patternFill>
      </fill>
    </dxf>
    <dxf>
      <fill>
        <patternFill patternType="solid">
          <fgColor rgb="00F0F0F0"/>
        </patternFill>
      </fill>
    </dxf>
    <dxf>
      <fill>
        <patternFill patternType="solid">
          <fgColor rgb="00D9D9D9"/>
        </patternFill>
      </fill>
    </dxf>
    <dxf>
      <font>
        <name val="Cairo"/>
        <b val="1"/>
        <color rgb="00C00000"/>
      </font>
      <fill>
        <patternFill patternType="solid">
          <fgColor rgb="00FFE0E0"/>
        </patternFill>
      </fill>
    </dxf>
    <dxf>
      <font>
        <name val="Cairo"/>
        <b val="1"/>
        <color rgb="00BF360C"/>
      </font>
      <fill>
        <patternFill patternType="solid">
          <fgColor rgb="00FCE4D6"/>
        </patternFill>
      </fill>
    </dxf>
    <dxf>
      <font>
        <name val="Cairo"/>
        <b val="1"/>
        <color rgb="001B5E20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AO209"/>
  <sheetViews>
    <sheetView rightToLeft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12" customWidth="1" min="2" max="2"/>
    <col width="20" customWidth="1" min="3" max="3"/>
    <col width="13" customWidth="1" min="4" max="4"/>
    <col width="13" customWidth="1" min="5" max="5"/>
    <col width="11" customWidth="1" min="6" max="6"/>
    <col width="14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13" customWidth="1" min="39" max="39"/>
    <col width="12" customWidth="1" min="40" max="40"/>
    <col width="12" customWidth="1" min="41" max="41"/>
  </cols>
  <sheetData>
    <row r="1" ht="52" customHeight="1">
      <c r="A1" s="1" t="inlineStr">
        <is>
          <t>سجل متابعة حضور وانصراف الموظفين</t>
        </is>
      </c>
    </row>
    <row r="2" ht="32" customHeight="1">
      <c r="A2" s="2" t="inlineStr">
        <is>
          <t>الشهر</t>
        </is>
      </c>
      <c r="B2" s="3" t="n">
        <v>6</v>
      </c>
      <c r="C2" s="4">
        <f>CHOOSE(B2,"يناير","فبراير","مارس","أبريل","مايو","يونيو","يوليو","أغسطس","سبتمبر","أكتوبر","نوفمبر","ديسمبر")</f>
        <v/>
      </c>
      <c r="D2" s="2" t="inlineStr">
        <is>
          <t>السنة</t>
        </is>
      </c>
      <c r="E2" s="3" t="n">
        <v>2026</v>
      </c>
      <c r="F2" s="5">
        <f>C2&amp;"  "&amp; E2</f>
        <v/>
      </c>
      <c r="AM2" s="6" t="inlineStr">
        <is>
          <t>إجمالي الحضور</t>
        </is>
      </c>
      <c r="AN2" s="6" t="inlineStr">
        <is>
          <t>إجمالي الغياب</t>
        </is>
      </c>
      <c r="AO2" s="6" t="inlineStr">
        <is>
          <t>نسبة الحضور</t>
        </is>
      </c>
    </row>
    <row r="3" ht="20" customHeight="1">
      <c r="H3" s="7">
        <f>DATE($E$2,$B$2,1)</f>
        <v/>
      </c>
      <c r="I3" s="7">
        <f>IF(H3="","",IF(MONTH(H3+1)=$B$2,H3+1,""))</f>
        <v/>
      </c>
      <c r="J3" s="7">
        <f>IF(I3="","",IF(MONTH(I3+1)=$B$2,I3+1,""))</f>
        <v/>
      </c>
      <c r="K3" s="7">
        <f>IF(J3="","",IF(MONTH(J3+1)=$B$2,J3+1,""))</f>
        <v/>
      </c>
      <c r="L3" s="7">
        <f>IF(K3="","",IF(MONTH(K3+1)=$B$2,K3+1,""))</f>
        <v/>
      </c>
      <c r="M3" s="7">
        <f>IF(L3="","",IF(MONTH(L3+1)=$B$2,L3+1,""))</f>
        <v/>
      </c>
      <c r="N3" s="7">
        <f>IF(M3="","",IF(MONTH(M3+1)=$B$2,M3+1,""))</f>
        <v/>
      </c>
      <c r="O3" s="7">
        <f>IF(N3="","",IF(MONTH(N3+1)=$B$2,N3+1,""))</f>
        <v/>
      </c>
      <c r="P3" s="7">
        <f>IF(O3="","",IF(MONTH(O3+1)=$B$2,O3+1,""))</f>
        <v/>
      </c>
      <c r="Q3" s="7">
        <f>IF(P3="","",IF(MONTH(P3+1)=$B$2,P3+1,""))</f>
        <v/>
      </c>
      <c r="R3" s="7">
        <f>IF(Q3="","",IF(MONTH(Q3+1)=$B$2,Q3+1,""))</f>
        <v/>
      </c>
      <c r="S3" s="7">
        <f>IF(R3="","",IF(MONTH(R3+1)=$B$2,R3+1,""))</f>
        <v/>
      </c>
      <c r="T3" s="7">
        <f>IF(S3="","",IF(MONTH(S3+1)=$B$2,S3+1,""))</f>
        <v/>
      </c>
      <c r="U3" s="7">
        <f>IF(T3="","",IF(MONTH(T3+1)=$B$2,T3+1,""))</f>
        <v/>
      </c>
      <c r="V3" s="7">
        <f>IF(U3="","",IF(MONTH(U3+1)=$B$2,U3+1,""))</f>
        <v/>
      </c>
      <c r="W3" s="7">
        <f>IF(V3="","",IF(MONTH(V3+1)=$B$2,V3+1,""))</f>
        <v/>
      </c>
      <c r="X3" s="7">
        <f>IF(W3="","",IF(MONTH(W3+1)=$B$2,W3+1,""))</f>
        <v/>
      </c>
      <c r="Y3" s="7">
        <f>IF(X3="","",IF(MONTH(X3+1)=$B$2,X3+1,""))</f>
        <v/>
      </c>
      <c r="Z3" s="7">
        <f>IF(Y3="","",IF(MONTH(Y3+1)=$B$2,Y3+1,""))</f>
        <v/>
      </c>
      <c r="AA3" s="7">
        <f>IF(Z3="","",IF(MONTH(Z3+1)=$B$2,Z3+1,""))</f>
        <v/>
      </c>
      <c r="AB3" s="7">
        <f>IF(AA3="","",IF(MONTH(AA3+1)=$B$2,AA3+1,""))</f>
        <v/>
      </c>
      <c r="AC3" s="7">
        <f>IF(AB3="","",IF(MONTH(AB3+1)=$B$2,AB3+1,""))</f>
        <v/>
      </c>
      <c r="AD3" s="7">
        <f>IF(AC3="","",IF(MONTH(AC3+1)=$B$2,AC3+1,""))</f>
        <v/>
      </c>
      <c r="AE3" s="7">
        <f>IF(AD3="","",IF(MONTH(AD3+1)=$B$2,AD3+1,""))</f>
        <v/>
      </c>
      <c r="AF3" s="7">
        <f>IF(AE3="","",IF(MONTH(AE3+1)=$B$2,AE3+1,""))</f>
        <v/>
      </c>
      <c r="AG3" s="7">
        <f>IF(AF3="","",IF(MONTH(AF3+1)=$B$2,AF3+1,""))</f>
        <v/>
      </c>
      <c r="AH3" s="7">
        <f>IF(AG3="","",IF(MONTH(AG3+1)=$B$2,AG3+1,""))</f>
        <v/>
      </c>
      <c r="AI3" s="7">
        <f>IF(AH3="","",IF(MONTH(AH3+1)=$B$2,AH3+1,""))</f>
        <v/>
      </c>
      <c r="AJ3" s="7">
        <f>IF(AI3="","",IF(MONTH(AI3+1)=$B$2,AI3+1,""))</f>
        <v/>
      </c>
      <c r="AK3" s="7">
        <f>IF(AJ3="","",IF(MONTH(AJ3+1)=$B$2,AJ3+1,""))</f>
        <v/>
      </c>
      <c r="AL3" s="7">
        <f>IF(AK3="","",IF(MONTH(AK3+1)=$B$2,AK3+1,""))</f>
        <v/>
      </c>
    </row>
    <row r="4" ht="18" customHeight="1">
      <c r="H4" s="8">
        <f>IF(H3="","",CHOOSE(WEEKDAY(H3,1),"أح","إث","ث","أر","خ","ج","س"))</f>
        <v/>
      </c>
      <c r="I4" s="8">
        <f>IF(I3="","",CHOOSE(WEEKDAY(I3,1),"أح","إث","ث","أر","خ","ج","س"))</f>
        <v/>
      </c>
      <c r="J4" s="8">
        <f>IF(J3="","",CHOOSE(WEEKDAY(J3,1),"أح","إث","ث","أر","خ","ج","س"))</f>
        <v/>
      </c>
      <c r="K4" s="8">
        <f>IF(K3="","",CHOOSE(WEEKDAY(K3,1),"أح","إث","ث","أر","خ","ج","س"))</f>
        <v/>
      </c>
      <c r="L4" s="8">
        <f>IF(L3="","",CHOOSE(WEEKDAY(L3,1),"أح","إث","ث","أر","خ","ج","س"))</f>
        <v/>
      </c>
      <c r="M4" s="8">
        <f>IF(M3="","",CHOOSE(WEEKDAY(M3,1),"أح","إث","ث","أر","خ","ج","س"))</f>
        <v/>
      </c>
      <c r="N4" s="8">
        <f>IF(N3="","",CHOOSE(WEEKDAY(N3,1),"أح","إث","ث","أر","خ","ج","س"))</f>
        <v/>
      </c>
      <c r="O4" s="8">
        <f>IF(O3="","",CHOOSE(WEEKDAY(O3,1),"أح","إث","ث","أر","خ","ج","س"))</f>
        <v/>
      </c>
      <c r="P4" s="8">
        <f>IF(P3="","",CHOOSE(WEEKDAY(P3,1),"أح","إث","ث","أر","خ","ج","س"))</f>
        <v/>
      </c>
      <c r="Q4" s="8">
        <f>IF(Q3="","",CHOOSE(WEEKDAY(Q3,1),"أح","إث","ث","أر","خ","ج","س"))</f>
        <v/>
      </c>
      <c r="R4" s="8">
        <f>IF(R3="","",CHOOSE(WEEKDAY(R3,1),"أح","إث","ث","أر","خ","ج","س"))</f>
        <v/>
      </c>
      <c r="S4" s="8">
        <f>IF(S3="","",CHOOSE(WEEKDAY(S3,1),"أح","إث","ث","أر","خ","ج","س"))</f>
        <v/>
      </c>
      <c r="T4" s="8">
        <f>IF(T3="","",CHOOSE(WEEKDAY(T3,1),"أح","إث","ث","أر","خ","ج","س"))</f>
        <v/>
      </c>
      <c r="U4" s="8">
        <f>IF(U3="","",CHOOSE(WEEKDAY(U3,1),"أح","إث","ث","أر","خ","ج","س"))</f>
        <v/>
      </c>
      <c r="V4" s="8">
        <f>IF(V3="","",CHOOSE(WEEKDAY(V3,1),"أح","إث","ث","أر","خ","ج","س"))</f>
        <v/>
      </c>
      <c r="W4" s="8">
        <f>IF(W3="","",CHOOSE(WEEKDAY(W3,1),"أح","إث","ث","أر","خ","ج","س"))</f>
        <v/>
      </c>
      <c r="X4" s="8">
        <f>IF(X3="","",CHOOSE(WEEKDAY(X3,1),"أح","إث","ث","أر","خ","ج","س"))</f>
        <v/>
      </c>
      <c r="Y4" s="8">
        <f>IF(Y3="","",CHOOSE(WEEKDAY(Y3,1),"أح","إث","ث","أر","خ","ج","س"))</f>
        <v/>
      </c>
      <c r="Z4" s="8">
        <f>IF(Z3="","",CHOOSE(WEEKDAY(Z3,1),"أح","إث","ث","أر","خ","ج","س"))</f>
        <v/>
      </c>
      <c r="AA4" s="8">
        <f>IF(AA3="","",CHOOSE(WEEKDAY(AA3,1),"أح","إث","ث","أر","خ","ج","س"))</f>
        <v/>
      </c>
      <c r="AB4" s="8">
        <f>IF(AB3="","",CHOOSE(WEEKDAY(AB3,1),"أح","إث","ث","أر","خ","ج","س"))</f>
        <v/>
      </c>
      <c r="AC4" s="8">
        <f>IF(AC3="","",CHOOSE(WEEKDAY(AC3,1),"أح","إث","ث","أر","خ","ج","س"))</f>
        <v/>
      </c>
      <c r="AD4" s="8">
        <f>IF(AD3="","",CHOOSE(WEEKDAY(AD3,1),"أح","إث","ث","أر","خ","ج","س"))</f>
        <v/>
      </c>
      <c r="AE4" s="8">
        <f>IF(AE3="","",CHOOSE(WEEKDAY(AE3,1),"أح","إث","ث","أر","خ","ج","س"))</f>
        <v/>
      </c>
      <c r="AF4" s="8">
        <f>IF(AF3="","",CHOOSE(WEEKDAY(AF3,1),"أح","إث","ث","أر","خ","ج","س"))</f>
        <v/>
      </c>
      <c r="AG4" s="8">
        <f>IF(AG3="","",CHOOSE(WEEKDAY(AG3,1),"أح","إث","ث","أر","خ","ج","س"))</f>
        <v/>
      </c>
      <c r="AH4" s="8">
        <f>IF(AH3="","",CHOOSE(WEEKDAY(AH3,1),"أح","إث","ث","أر","خ","ج","س"))</f>
        <v/>
      </c>
      <c r="AI4" s="8">
        <f>IF(AI3="","",CHOOSE(WEEKDAY(AI3,1),"أح","إث","ث","أر","خ","ج","س"))</f>
        <v/>
      </c>
      <c r="AJ4" s="8">
        <f>IF(AJ3="","",CHOOSE(WEEKDAY(AJ3,1),"أح","إث","ث","أر","خ","ج","س"))</f>
        <v/>
      </c>
      <c r="AK4" s="8">
        <f>IF(AK3="","",CHOOSE(WEEKDAY(AK3,1),"أح","إث","ث","أر","خ","ج","س"))</f>
        <v/>
      </c>
      <c r="AL4" s="8">
        <f>IF(AL3="","",CHOOSE(WEEKDAY(AL3,1),"أح","إث","ث","أر","خ","ج","س"))</f>
        <v/>
      </c>
    </row>
    <row r="5" ht="32" customHeight="1">
      <c r="A5" s="9" t="inlineStr">
        <is>
          <t>م</t>
        </is>
      </c>
      <c r="B5" s="9" t="inlineStr">
        <is>
          <t>رقم الموظف</t>
        </is>
      </c>
      <c r="C5" s="9" t="inlineStr">
        <is>
          <t>اسم الموظف</t>
        </is>
      </c>
      <c r="D5" s="9" t="inlineStr">
        <is>
          <t>الكفالة</t>
        </is>
      </c>
      <c r="E5" s="9" t="inlineStr">
        <is>
          <t>الموقع</t>
        </is>
      </c>
      <c r="F5" s="9" t="inlineStr">
        <is>
          <t>التصنيف</t>
        </is>
      </c>
      <c r="G5" s="9" t="inlineStr">
        <is>
          <t>ملاحظات</t>
        </is>
      </c>
      <c r="H5" s="10" t="n">
        <v>1</v>
      </c>
      <c r="I5" s="10" t="n">
        <v>2</v>
      </c>
      <c r="J5" s="10" t="n">
        <v>3</v>
      </c>
      <c r="K5" s="10" t="n">
        <v>4</v>
      </c>
      <c r="L5" s="10" t="n">
        <v>5</v>
      </c>
      <c r="M5" s="10" t="n">
        <v>6</v>
      </c>
      <c r="N5" s="10" t="n">
        <v>7</v>
      </c>
      <c r="O5" s="10" t="n">
        <v>8</v>
      </c>
      <c r="P5" s="10" t="n">
        <v>9</v>
      </c>
      <c r="Q5" s="10" t="n">
        <v>10</v>
      </c>
      <c r="R5" s="10" t="n">
        <v>11</v>
      </c>
      <c r="S5" s="10" t="n">
        <v>12</v>
      </c>
      <c r="T5" s="10" t="n">
        <v>13</v>
      </c>
      <c r="U5" s="10" t="n">
        <v>14</v>
      </c>
      <c r="V5" s="10" t="n">
        <v>15</v>
      </c>
      <c r="W5" s="10" t="n">
        <v>16</v>
      </c>
      <c r="X5" s="10" t="n">
        <v>17</v>
      </c>
      <c r="Y5" s="10" t="n">
        <v>18</v>
      </c>
      <c r="Z5" s="10" t="n">
        <v>19</v>
      </c>
      <c r="AA5" s="10" t="n">
        <v>20</v>
      </c>
      <c r="AB5" s="10" t="n">
        <v>21</v>
      </c>
      <c r="AC5" s="10" t="n">
        <v>22</v>
      </c>
      <c r="AD5" s="10" t="n">
        <v>23</v>
      </c>
      <c r="AE5" s="10" t="n">
        <v>24</v>
      </c>
      <c r="AF5" s="10" t="n">
        <v>25</v>
      </c>
      <c r="AG5" s="10" t="n">
        <v>26</v>
      </c>
      <c r="AH5" s="10" t="n">
        <v>27</v>
      </c>
      <c r="AI5" s="10" t="n">
        <v>28</v>
      </c>
      <c r="AJ5" s="10" t="n">
        <v>29</v>
      </c>
      <c r="AK5" s="10" t="n">
        <v>30</v>
      </c>
      <c r="AL5" s="10" t="n">
        <v>31</v>
      </c>
    </row>
    <row r="6" ht="20" customHeight="1">
      <c r="A6" s="11" t="n">
        <v>1</v>
      </c>
      <c r="B6" s="12" t="n"/>
      <c r="C6" s="13" t="n"/>
      <c r="D6" s="14" t="n"/>
      <c r="E6" s="14" t="n"/>
      <c r="F6" s="15" t="n"/>
      <c r="G6" s="16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8">
        <f>COUNTIF(H6:AL6,"حضور")</f>
        <v/>
      </c>
      <c r="AN6" s="19">
        <f>COUNTIF(H6:AL6,"غياب")</f>
        <v/>
      </c>
      <c r="AO6" s="20">
        <f>IFERROR(AM6/(AM6+AN6+COUNTIF(H6:AL6,"مستأذن"))*100,0)</f>
        <v/>
      </c>
    </row>
    <row r="7" ht="20" customHeight="1">
      <c r="A7" s="11" t="n">
        <v>2</v>
      </c>
      <c r="B7" s="21" t="n"/>
      <c r="C7" s="22" t="n"/>
      <c r="D7" s="23" t="n"/>
      <c r="E7" s="23" t="n"/>
      <c r="F7" s="24" t="n"/>
      <c r="G7" s="25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18">
        <f>COUNTIF(H7:AL7,"حضور")</f>
        <v/>
      </c>
      <c r="AN7" s="19">
        <f>COUNTIF(H7:AL7,"غياب")</f>
        <v/>
      </c>
      <c r="AO7" s="20">
        <f>IFERROR(AM7/(AM7+AN7+COUNTIF(H7:AL7,"مستأذن"))*100,0)</f>
        <v/>
      </c>
    </row>
    <row r="8" ht="20" customHeight="1">
      <c r="A8" s="11" t="n">
        <v>3</v>
      </c>
      <c r="B8" s="12" t="n"/>
      <c r="C8" s="13" t="n"/>
      <c r="D8" s="14" t="n"/>
      <c r="E8" s="14" t="n"/>
      <c r="F8" s="15" t="n"/>
      <c r="G8" s="16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8">
        <f>COUNTIF(H8:AL8,"حضور")</f>
        <v/>
      </c>
      <c r="AN8" s="19">
        <f>COUNTIF(H8:AL8,"غياب")</f>
        <v/>
      </c>
      <c r="AO8" s="20">
        <f>IFERROR(AM8/(AM8+AN8+COUNTIF(H8:AL8,"مستأذن"))*100,0)</f>
        <v/>
      </c>
    </row>
    <row r="9" ht="20" customHeight="1">
      <c r="A9" s="11" t="n">
        <v>4</v>
      </c>
      <c r="B9" s="21" t="n"/>
      <c r="C9" s="22" t="n"/>
      <c r="D9" s="23" t="n"/>
      <c r="E9" s="23" t="n"/>
      <c r="F9" s="24" t="n"/>
      <c r="G9" s="25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18">
        <f>COUNTIF(H9:AL9,"حضور")</f>
        <v/>
      </c>
      <c r="AN9" s="19">
        <f>COUNTIF(H9:AL9,"غياب")</f>
        <v/>
      </c>
      <c r="AO9" s="20">
        <f>IFERROR(AM9/(AM9+AN9+COUNTIF(H9:AL9,"مستأذن"))*100,0)</f>
        <v/>
      </c>
    </row>
    <row r="10" ht="20" customHeight="1">
      <c r="A10" s="11" t="n">
        <v>5</v>
      </c>
      <c r="B10" s="12" t="n"/>
      <c r="C10" s="13" t="n"/>
      <c r="D10" s="14" t="n"/>
      <c r="E10" s="14" t="n"/>
      <c r="F10" s="15" t="n"/>
      <c r="G10" s="16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8">
        <f>COUNTIF(H10:AL10,"حضور")</f>
        <v/>
      </c>
      <c r="AN10" s="19">
        <f>COUNTIF(H10:AL10,"غياب")</f>
        <v/>
      </c>
      <c r="AO10" s="20">
        <f>IFERROR(AM10/(AM10+AN10+COUNTIF(H10:AL10,"مستأذن"))*100,0)</f>
        <v/>
      </c>
    </row>
    <row r="11" ht="20" customHeight="1">
      <c r="A11" s="11" t="n">
        <v>6</v>
      </c>
      <c r="B11" s="21" t="n"/>
      <c r="C11" s="22" t="n"/>
      <c r="D11" s="23" t="n"/>
      <c r="E11" s="23" t="n"/>
      <c r="F11" s="24" t="n"/>
      <c r="G11" s="25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18">
        <f>COUNTIF(H11:AL11,"حضور")</f>
        <v/>
      </c>
      <c r="AN11" s="19">
        <f>COUNTIF(H11:AL11,"غياب")</f>
        <v/>
      </c>
      <c r="AO11" s="20">
        <f>IFERROR(AM11/(AM11+AN11+COUNTIF(H11:AL11,"مستأذن"))*100,0)</f>
        <v/>
      </c>
    </row>
    <row r="12" ht="20" customHeight="1">
      <c r="A12" s="11" t="n">
        <v>7</v>
      </c>
      <c r="B12" s="12" t="n"/>
      <c r="C12" s="13" t="n"/>
      <c r="D12" s="14" t="n"/>
      <c r="E12" s="14" t="n"/>
      <c r="F12" s="15" t="n"/>
      <c r="G12" s="16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8">
        <f>COUNTIF(H12:AL12,"حضور")</f>
        <v/>
      </c>
      <c r="AN12" s="19">
        <f>COUNTIF(H12:AL12,"غياب")</f>
        <v/>
      </c>
      <c r="AO12" s="20">
        <f>IFERROR(AM12/(AM12+AN12+COUNTIF(H12:AL12,"مستأذن"))*100,0)</f>
        <v/>
      </c>
    </row>
    <row r="13" ht="20" customHeight="1">
      <c r="A13" s="11" t="n">
        <v>8</v>
      </c>
      <c r="B13" s="21" t="n"/>
      <c r="C13" s="22" t="n"/>
      <c r="D13" s="23" t="n"/>
      <c r="E13" s="23" t="n"/>
      <c r="F13" s="24" t="n"/>
      <c r="G13" s="25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18">
        <f>COUNTIF(H13:AL13,"حضور")</f>
        <v/>
      </c>
      <c r="AN13" s="19">
        <f>COUNTIF(H13:AL13,"غياب")</f>
        <v/>
      </c>
      <c r="AO13" s="20">
        <f>IFERROR(AM13/(AM13+AN13+COUNTIF(H13:AL13,"مستأذن"))*100,0)</f>
        <v/>
      </c>
    </row>
    <row r="14" ht="20" customHeight="1">
      <c r="A14" s="11" t="n">
        <v>9</v>
      </c>
      <c r="B14" s="12" t="n"/>
      <c r="C14" s="13" t="n"/>
      <c r="D14" s="14" t="n"/>
      <c r="E14" s="14" t="n"/>
      <c r="F14" s="15" t="n"/>
      <c r="G14" s="16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8">
        <f>COUNTIF(H14:AL14,"حضور")</f>
        <v/>
      </c>
      <c r="AN14" s="19">
        <f>COUNTIF(H14:AL14,"غياب")</f>
        <v/>
      </c>
      <c r="AO14" s="20">
        <f>IFERROR(AM14/(AM14+AN14+COUNTIF(H14:AL14,"مستأذن"))*100,0)</f>
        <v/>
      </c>
    </row>
    <row r="15" ht="20" customHeight="1">
      <c r="A15" s="11" t="n">
        <v>10</v>
      </c>
      <c r="B15" s="21" t="n"/>
      <c r="C15" s="22" t="n"/>
      <c r="D15" s="23" t="n"/>
      <c r="E15" s="23" t="n"/>
      <c r="F15" s="24" t="n"/>
      <c r="G15" s="25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18">
        <f>COUNTIF(H15:AL15,"حضور")</f>
        <v/>
      </c>
      <c r="AN15" s="19">
        <f>COUNTIF(H15:AL15,"غياب")</f>
        <v/>
      </c>
      <c r="AO15" s="20">
        <f>IFERROR(AM15/(AM15+AN15+COUNTIF(H15:AL15,"مستأذن"))*100,0)</f>
        <v/>
      </c>
    </row>
    <row r="16" ht="20" customHeight="1">
      <c r="A16" s="11" t="n">
        <v>11</v>
      </c>
      <c r="B16" s="12" t="n"/>
      <c r="C16" s="13" t="n"/>
      <c r="D16" s="14" t="n"/>
      <c r="E16" s="14" t="n"/>
      <c r="F16" s="15" t="n"/>
      <c r="G16" s="16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8">
        <f>COUNTIF(H16:AL16,"حضور")</f>
        <v/>
      </c>
      <c r="AN16" s="19">
        <f>COUNTIF(H16:AL16,"غياب")</f>
        <v/>
      </c>
      <c r="AO16" s="20">
        <f>IFERROR(AM16/(AM16+AN16+COUNTIF(H16:AL16,"مستأذن"))*100,0)</f>
        <v/>
      </c>
    </row>
    <row r="17" ht="20" customHeight="1">
      <c r="A17" s="11" t="n">
        <v>12</v>
      </c>
      <c r="B17" s="21" t="n"/>
      <c r="C17" s="22" t="n"/>
      <c r="D17" s="23" t="n"/>
      <c r="E17" s="23" t="n"/>
      <c r="F17" s="24" t="n"/>
      <c r="G17" s="25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18">
        <f>COUNTIF(H17:AL17,"حضور")</f>
        <v/>
      </c>
      <c r="AN17" s="19">
        <f>COUNTIF(H17:AL17,"غياب")</f>
        <v/>
      </c>
      <c r="AO17" s="20">
        <f>IFERROR(AM17/(AM17+AN17+COUNTIF(H17:AL17,"مستأذن"))*100,0)</f>
        <v/>
      </c>
    </row>
    <row r="18" ht="20" customHeight="1">
      <c r="A18" s="11" t="n">
        <v>13</v>
      </c>
      <c r="B18" s="12" t="n"/>
      <c r="C18" s="13" t="n"/>
      <c r="D18" s="14" t="n"/>
      <c r="E18" s="14" t="n"/>
      <c r="F18" s="15" t="n"/>
      <c r="G18" s="16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8">
        <f>COUNTIF(H18:AL18,"حضور")</f>
        <v/>
      </c>
      <c r="AN18" s="19">
        <f>COUNTIF(H18:AL18,"غياب")</f>
        <v/>
      </c>
      <c r="AO18" s="20">
        <f>IFERROR(AM18/(AM18+AN18+COUNTIF(H18:AL18,"مستأذن"))*100,0)</f>
        <v/>
      </c>
    </row>
    <row r="19" ht="20" customHeight="1">
      <c r="A19" s="11" t="n">
        <v>14</v>
      </c>
      <c r="B19" s="21" t="n"/>
      <c r="C19" s="22" t="n"/>
      <c r="D19" s="23" t="n"/>
      <c r="E19" s="23" t="n"/>
      <c r="F19" s="24" t="n"/>
      <c r="G19" s="25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18">
        <f>COUNTIF(H19:AL19,"حضور")</f>
        <v/>
      </c>
      <c r="AN19" s="19">
        <f>COUNTIF(H19:AL19,"غياب")</f>
        <v/>
      </c>
      <c r="AO19" s="20">
        <f>IFERROR(AM19/(AM19+AN19+COUNTIF(H19:AL19,"مستأذن"))*100,0)</f>
        <v/>
      </c>
    </row>
    <row r="20" ht="20" customHeight="1">
      <c r="A20" s="11" t="n">
        <v>15</v>
      </c>
      <c r="B20" s="12" t="n"/>
      <c r="C20" s="13" t="n"/>
      <c r="D20" s="14" t="n"/>
      <c r="E20" s="14" t="n"/>
      <c r="F20" s="15" t="n"/>
      <c r="G20" s="16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8">
        <f>COUNTIF(H20:AL20,"حضور")</f>
        <v/>
      </c>
      <c r="AN20" s="19">
        <f>COUNTIF(H20:AL20,"غياب")</f>
        <v/>
      </c>
      <c r="AO20" s="20">
        <f>IFERROR(AM20/(AM20+AN20+COUNTIF(H20:AL20,"مستأذن"))*100,0)</f>
        <v/>
      </c>
    </row>
    <row r="21" ht="20" customHeight="1">
      <c r="A21" s="11" t="n">
        <v>16</v>
      </c>
      <c r="B21" s="21" t="n"/>
      <c r="C21" s="22" t="n"/>
      <c r="D21" s="23" t="n"/>
      <c r="E21" s="23" t="n"/>
      <c r="F21" s="24" t="n"/>
      <c r="G21" s="25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26" t="n"/>
      <c r="AJ21" s="26" t="n"/>
      <c r="AK21" s="26" t="n"/>
      <c r="AL21" s="26" t="n"/>
      <c r="AM21" s="18">
        <f>COUNTIF(H21:AL21,"حضور")</f>
        <v/>
      </c>
      <c r="AN21" s="19">
        <f>COUNTIF(H21:AL21,"غياب")</f>
        <v/>
      </c>
      <c r="AO21" s="20">
        <f>IFERROR(AM21/(AM21+AN21+COUNTIF(H21:AL21,"مستأذن"))*100,0)</f>
        <v/>
      </c>
    </row>
    <row r="22" ht="20" customHeight="1">
      <c r="A22" s="11" t="n">
        <v>17</v>
      </c>
      <c r="B22" s="12" t="n"/>
      <c r="C22" s="13" t="n"/>
      <c r="D22" s="14" t="n"/>
      <c r="E22" s="14" t="n"/>
      <c r="F22" s="15" t="n"/>
      <c r="G22" s="16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8">
        <f>COUNTIF(H22:AL22,"حضور")</f>
        <v/>
      </c>
      <c r="AN22" s="19">
        <f>COUNTIF(H22:AL22,"غياب")</f>
        <v/>
      </c>
      <c r="AO22" s="20">
        <f>IFERROR(AM22/(AM22+AN22+COUNTIF(H22:AL22,"مستأذن"))*100,0)</f>
        <v/>
      </c>
    </row>
    <row r="23" ht="20" customHeight="1">
      <c r="A23" s="11" t="n">
        <v>18</v>
      </c>
      <c r="B23" s="21" t="n"/>
      <c r="C23" s="22" t="n"/>
      <c r="D23" s="23" t="n"/>
      <c r="E23" s="23" t="n"/>
      <c r="F23" s="24" t="n"/>
      <c r="G23" s="25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18">
        <f>COUNTIF(H23:AL23,"حضور")</f>
        <v/>
      </c>
      <c r="AN23" s="19">
        <f>COUNTIF(H23:AL23,"غياب")</f>
        <v/>
      </c>
      <c r="AO23" s="20">
        <f>IFERROR(AM23/(AM23+AN23+COUNTIF(H23:AL23,"مستأذن"))*100,0)</f>
        <v/>
      </c>
    </row>
    <row r="24" ht="20" customHeight="1">
      <c r="A24" s="11" t="n">
        <v>19</v>
      </c>
      <c r="B24" s="12" t="n"/>
      <c r="C24" s="13" t="n"/>
      <c r="D24" s="14" t="n"/>
      <c r="E24" s="14" t="n"/>
      <c r="F24" s="15" t="n"/>
      <c r="G24" s="16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8">
        <f>COUNTIF(H24:AL24,"حضور")</f>
        <v/>
      </c>
      <c r="AN24" s="19">
        <f>COUNTIF(H24:AL24,"غياب")</f>
        <v/>
      </c>
      <c r="AO24" s="20">
        <f>IFERROR(AM24/(AM24+AN24+COUNTIF(H24:AL24,"مستأذن"))*100,0)</f>
        <v/>
      </c>
    </row>
    <row r="25" ht="20" customHeight="1">
      <c r="A25" s="11" t="n">
        <v>20</v>
      </c>
      <c r="B25" s="21" t="n"/>
      <c r="C25" s="22" t="n"/>
      <c r="D25" s="23" t="n"/>
      <c r="E25" s="23" t="n"/>
      <c r="F25" s="24" t="n"/>
      <c r="G25" s="25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18">
        <f>COUNTIF(H25:AL25,"حضور")</f>
        <v/>
      </c>
      <c r="AN25" s="19">
        <f>COUNTIF(H25:AL25,"غياب")</f>
        <v/>
      </c>
      <c r="AO25" s="20">
        <f>IFERROR(AM25/(AM25+AN25+COUNTIF(H25:AL25,"مستأذن"))*100,0)</f>
        <v/>
      </c>
    </row>
    <row r="26" ht="20" customHeight="1">
      <c r="A26" s="11" t="n">
        <v>21</v>
      </c>
      <c r="B26" s="12" t="n"/>
      <c r="C26" s="13" t="n"/>
      <c r="D26" s="14" t="n"/>
      <c r="E26" s="14" t="n"/>
      <c r="F26" s="15" t="n"/>
      <c r="G26" s="16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8">
        <f>COUNTIF(H26:AL26,"حضور")</f>
        <v/>
      </c>
      <c r="AN26" s="19">
        <f>COUNTIF(H26:AL26,"غياب")</f>
        <v/>
      </c>
      <c r="AO26" s="20">
        <f>IFERROR(AM26/(AM26+AN26+COUNTIF(H26:AL26,"مستأذن"))*100,0)</f>
        <v/>
      </c>
    </row>
    <row r="27" ht="20" customHeight="1">
      <c r="A27" s="11" t="n">
        <v>22</v>
      </c>
      <c r="B27" s="21" t="n"/>
      <c r="C27" s="22" t="n"/>
      <c r="D27" s="23" t="n"/>
      <c r="E27" s="23" t="n"/>
      <c r="F27" s="24" t="n"/>
      <c r="G27" s="25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18">
        <f>COUNTIF(H27:AL27,"حضور")</f>
        <v/>
      </c>
      <c r="AN27" s="19">
        <f>COUNTIF(H27:AL27,"غياب")</f>
        <v/>
      </c>
      <c r="AO27" s="20">
        <f>IFERROR(AM27/(AM27+AN27+COUNTIF(H27:AL27,"مستأذن"))*100,0)</f>
        <v/>
      </c>
    </row>
    <row r="28" ht="20" customHeight="1">
      <c r="A28" s="11" t="n">
        <v>23</v>
      </c>
      <c r="B28" s="12" t="n"/>
      <c r="C28" s="13" t="n"/>
      <c r="D28" s="14" t="n"/>
      <c r="E28" s="14" t="n"/>
      <c r="F28" s="15" t="n"/>
      <c r="G28" s="16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8">
        <f>COUNTIF(H28:AL28,"حضور")</f>
        <v/>
      </c>
      <c r="AN28" s="19">
        <f>COUNTIF(H28:AL28,"غياب")</f>
        <v/>
      </c>
      <c r="AO28" s="20">
        <f>IFERROR(AM28/(AM28+AN28+COUNTIF(H28:AL28,"مستأذن"))*100,0)</f>
        <v/>
      </c>
    </row>
    <row r="29" ht="20" customHeight="1">
      <c r="A29" s="11" t="n">
        <v>24</v>
      </c>
      <c r="B29" s="21" t="n"/>
      <c r="C29" s="22" t="n"/>
      <c r="D29" s="23" t="n"/>
      <c r="E29" s="23" t="n"/>
      <c r="F29" s="24" t="n"/>
      <c r="G29" s="25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18">
        <f>COUNTIF(H29:AL29,"حضور")</f>
        <v/>
      </c>
      <c r="AN29" s="19">
        <f>COUNTIF(H29:AL29,"غياب")</f>
        <v/>
      </c>
      <c r="AO29" s="20">
        <f>IFERROR(AM29/(AM29+AN29+COUNTIF(H29:AL29,"مستأذن"))*100,0)</f>
        <v/>
      </c>
    </row>
    <row r="30" ht="20" customHeight="1">
      <c r="A30" s="11" t="n">
        <v>25</v>
      </c>
      <c r="B30" s="12" t="n"/>
      <c r="C30" s="13" t="n"/>
      <c r="D30" s="14" t="n"/>
      <c r="E30" s="14" t="n"/>
      <c r="F30" s="15" t="n"/>
      <c r="G30" s="16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8">
        <f>COUNTIF(H30:AL30,"حضور")</f>
        <v/>
      </c>
      <c r="AN30" s="19">
        <f>COUNTIF(H30:AL30,"غياب")</f>
        <v/>
      </c>
      <c r="AO30" s="20">
        <f>IFERROR(AM30/(AM30+AN30+COUNTIF(H30:AL30,"مستأذن"))*100,0)</f>
        <v/>
      </c>
    </row>
    <row r="31" ht="20" customHeight="1">
      <c r="A31" s="11" t="n">
        <v>26</v>
      </c>
      <c r="B31" s="21" t="n"/>
      <c r="C31" s="22" t="n"/>
      <c r="D31" s="23" t="n"/>
      <c r="E31" s="23" t="n"/>
      <c r="F31" s="24" t="n"/>
      <c r="G31" s="25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  <c r="AM31" s="18">
        <f>COUNTIF(H31:AL31,"حضور")</f>
        <v/>
      </c>
      <c r="AN31" s="19">
        <f>COUNTIF(H31:AL31,"غياب")</f>
        <v/>
      </c>
      <c r="AO31" s="20">
        <f>IFERROR(AM31/(AM31+AN31+COUNTIF(H31:AL31,"مستأذن"))*100,0)</f>
        <v/>
      </c>
    </row>
    <row r="32" ht="20" customHeight="1">
      <c r="A32" s="11" t="n">
        <v>27</v>
      </c>
      <c r="B32" s="12" t="n"/>
      <c r="C32" s="13" t="n"/>
      <c r="D32" s="14" t="n"/>
      <c r="E32" s="14" t="n"/>
      <c r="F32" s="15" t="n"/>
      <c r="G32" s="16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8">
        <f>COUNTIF(H32:AL32,"حضور")</f>
        <v/>
      </c>
      <c r="AN32" s="19">
        <f>COUNTIF(H32:AL32,"غياب")</f>
        <v/>
      </c>
      <c r="AO32" s="20">
        <f>IFERROR(AM32/(AM32+AN32+COUNTIF(H32:AL32,"مستأذن"))*100,0)</f>
        <v/>
      </c>
    </row>
    <row r="33" ht="20" customHeight="1">
      <c r="A33" s="11" t="n">
        <v>28</v>
      </c>
      <c r="B33" s="21" t="n"/>
      <c r="C33" s="22" t="n"/>
      <c r="D33" s="23" t="n"/>
      <c r="E33" s="23" t="n"/>
      <c r="F33" s="24" t="n"/>
      <c r="G33" s="25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26" t="n"/>
      <c r="AJ33" s="26" t="n"/>
      <c r="AK33" s="26" t="n"/>
      <c r="AL33" s="26" t="n"/>
      <c r="AM33" s="18">
        <f>COUNTIF(H33:AL33,"حضور")</f>
        <v/>
      </c>
      <c r="AN33" s="19">
        <f>COUNTIF(H33:AL33,"غياب")</f>
        <v/>
      </c>
      <c r="AO33" s="20">
        <f>IFERROR(AM33/(AM33+AN33+COUNTIF(H33:AL33,"مستأذن"))*100,0)</f>
        <v/>
      </c>
    </row>
    <row r="34" ht="20" customHeight="1">
      <c r="A34" s="11" t="n">
        <v>29</v>
      </c>
      <c r="B34" s="12" t="n"/>
      <c r="C34" s="13" t="n"/>
      <c r="D34" s="14" t="n"/>
      <c r="E34" s="14" t="n"/>
      <c r="F34" s="15" t="n"/>
      <c r="G34" s="16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8">
        <f>COUNTIF(H34:AL34,"حضور")</f>
        <v/>
      </c>
      <c r="AN34" s="19">
        <f>COUNTIF(H34:AL34,"غياب")</f>
        <v/>
      </c>
      <c r="AO34" s="20">
        <f>IFERROR(AM34/(AM34+AN34+COUNTIF(H34:AL34,"مستأذن"))*100,0)</f>
        <v/>
      </c>
    </row>
    <row r="35" ht="20" customHeight="1">
      <c r="A35" s="11" t="n">
        <v>30</v>
      </c>
      <c r="B35" s="21" t="n"/>
      <c r="C35" s="22" t="n"/>
      <c r="D35" s="23" t="n"/>
      <c r="E35" s="23" t="n"/>
      <c r="F35" s="24" t="n"/>
      <c r="G35" s="25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18">
        <f>COUNTIF(H35:AL35,"حضور")</f>
        <v/>
      </c>
      <c r="AN35" s="19">
        <f>COUNTIF(H35:AL35,"غياب")</f>
        <v/>
      </c>
      <c r="AO35" s="20">
        <f>IFERROR(AM35/(AM35+AN35+COUNTIF(H35:AL35,"مستأذن"))*100,0)</f>
        <v/>
      </c>
    </row>
    <row r="36" ht="20" customHeight="1">
      <c r="A36" s="11" t="n">
        <v>31</v>
      </c>
      <c r="B36" s="12" t="n"/>
      <c r="C36" s="13" t="n"/>
      <c r="D36" s="14" t="n"/>
      <c r="E36" s="14" t="n"/>
      <c r="F36" s="15" t="n"/>
      <c r="G36" s="16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8">
        <f>COUNTIF(H36:AL36,"حضور")</f>
        <v/>
      </c>
      <c r="AN36" s="19">
        <f>COUNTIF(H36:AL36,"غياب")</f>
        <v/>
      </c>
      <c r="AO36" s="20">
        <f>IFERROR(AM36/(AM36+AN36+COUNTIF(H36:AL36,"مستأذن"))*100,0)</f>
        <v/>
      </c>
    </row>
    <row r="37" ht="20" customHeight="1">
      <c r="A37" s="11" t="n">
        <v>32</v>
      </c>
      <c r="B37" s="21" t="n"/>
      <c r="C37" s="22" t="n"/>
      <c r="D37" s="23" t="n"/>
      <c r="E37" s="23" t="n"/>
      <c r="F37" s="24" t="n"/>
      <c r="G37" s="25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18">
        <f>COUNTIF(H37:AL37,"حضور")</f>
        <v/>
      </c>
      <c r="AN37" s="19">
        <f>COUNTIF(H37:AL37,"غياب")</f>
        <v/>
      </c>
      <c r="AO37" s="20">
        <f>IFERROR(AM37/(AM37+AN37+COUNTIF(H37:AL37,"مستأذن"))*100,0)</f>
        <v/>
      </c>
    </row>
    <row r="38" ht="20" customHeight="1">
      <c r="A38" s="11" t="n">
        <v>33</v>
      </c>
      <c r="B38" s="12" t="n"/>
      <c r="C38" s="13" t="n"/>
      <c r="D38" s="14" t="n"/>
      <c r="E38" s="14" t="n"/>
      <c r="F38" s="15" t="n"/>
      <c r="G38" s="16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8">
        <f>COUNTIF(H38:AL38,"حضور")</f>
        <v/>
      </c>
      <c r="AN38" s="19">
        <f>COUNTIF(H38:AL38,"غياب")</f>
        <v/>
      </c>
      <c r="AO38" s="20">
        <f>IFERROR(AM38/(AM38+AN38+COUNTIF(H38:AL38,"مستأذن"))*100,0)</f>
        <v/>
      </c>
    </row>
    <row r="39" ht="20" customHeight="1">
      <c r="A39" s="11" t="n">
        <v>34</v>
      </c>
      <c r="B39" s="21" t="n"/>
      <c r="C39" s="22" t="n"/>
      <c r="D39" s="23" t="n"/>
      <c r="E39" s="23" t="n"/>
      <c r="F39" s="24" t="n"/>
      <c r="G39" s="25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18">
        <f>COUNTIF(H39:AL39,"حضور")</f>
        <v/>
      </c>
      <c r="AN39" s="19">
        <f>COUNTIF(H39:AL39,"غياب")</f>
        <v/>
      </c>
      <c r="AO39" s="20">
        <f>IFERROR(AM39/(AM39+AN39+COUNTIF(H39:AL39,"مستأذن"))*100,0)</f>
        <v/>
      </c>
    </row>
    <row r="40" ht="20" customHeight="1">
      <c r="A40" s="11" t="n">
        <v>35</v>
      </c>
      <c r="B40" s="12" t="n"/>
      <c r="C40" s="13" t="n"/>
      <c r="D40" s="14" t="n"/>
      <c r="E40" s="14" t="n"/>
      <c r="F40" s="15" t="n"/>
      <c r="G40" s="16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8">
        <f>COUNTIF(H40:AL40,"حضور")</f>
        <v/>
      </c>
      <c r="AN40" s="19">
        <f>COUNTIF(H40:AL40,"غياب")</f>
        <v/>
      </c>
      <c r="AO40" s="20">
        <f>IFERROR(AM40/(AM40+AN40+COUNTIF(H40:AL40,"مستأذن"))*100,0)</f>
        <v/>
      </c>
    </row>
    <row r="41" ht="20" customHeight="1">
      <c r="A41" s="11" t="n">
        <v>36</v>
      </c>
      <c r="B41" s="21" t="n"/>
      <c r="C41" s="22" t="n"/>
      <c r="D41" s="23" t="n"/>
      <c r="E41" s="23" t="n"/>
      <c r="F41" s="24" t="n"/>
      <c r="G41" s="25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18">
        <f>COUNTIF(H41:AL41,"حضور")</f>
        <v/>
      </c>
      <c r="AN41" s="19">
        <f>COUNTIF(H41:AL41,"غياب")</f>
        <v/>
      </c>
      <c r="AO41" s="20">
        <f>IFERROR(AM41/(AM41+AN41+COUNTIF(H41:AL41,"مستأذن"))*100,0)</f>
        <v/>
      </c>
    </row>
    <row r="42" ht="20" customHeight="1">
      <c r="A42" s="11" t="n">
        <v>37</v>
      </c>
      <c r="B42" s="12" t="n"/>
      <c r="C42" s="13" t="n"/>
      <c r="D42" s="14" t="n"/>
      <c r="E42" s="14" t="n"/>
      <c r="F42" s="15" t="n"/>
      <c r="G42" s="16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8">
        <f>COUNTIF(H42:AL42,"حضور")</f>
        <v/>
      </c>
      <c r="AN42" s="19">
        <f>COUNTIF(H42:AL42,"غياب")</f>
        <v/>
      </c>
      <c r="AO42" s="20">
        <f>IFERROR(AM42/(AM42+AN42+COUNTIF(H42:AL42,"مستأذن"))*100,0)</f>
        <v/>
      </c>
    </row>
    <row r="43" ht="20" customHeight="1">
      <c r="A43" s="11" t="n">
        <v>38</v>
      </c>
      <c r="B43" s="21" t="n"/>
      <c r="C43" s="22" t="n"/>
      <c r="D43" s="23" t="n"/>
      <c r="E43" s="23" t="n"/>
      <c r="F43" s="24" t="n"/>
      <c r="G43" s="25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18">
        <f>COUNTIF(H43:AL43,"حضور")</f>
        <v/>
      </c>
      <c r="AN43" s="19">
        <f>COUNTIF(H43:AL43,"غياب")</f>
        <v/>
      </c>
      <c r="AO43" s="20">
        <f>IFERROR(AM43/(AM43+AN43+COUNTIF(H43:AL43,"مستأذن"))*100,0)</f>
        <v/>
      </c>
    </row>
    <row r="44" ht="20" customHeight="1">
      <c r="A44" s="11" t="n">
        <v>39</v>
      </c>
      <c r="B44" s="12" t="n"/>
      <c r="C44" s="13" t="n"/>
      <c r="D44" s="14" t="n"/>
      <c r="E44" s="14" t="n"/>
      <c r="F44" s="15" t="n"/>
      <c r="G44" s="16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8">
        <f>COUNTIF(H44:AL44,"حضور")</f>
        <v/>
      </c>
      <c r="AN44" s="19">
        <f>COUNTIF(H44:AL44,"غياب")</f>
        <v/>
      </c>
      <c r="AO44" s="20">
        <f>IFERROR(AM44/(AM44+AN44+COUNTIF(H44:AL44,"مستأذن"))*100,0)</f>
        <v/>
      </c>
    </row>
    <row r="45" ht="20" customHeight="1">
      <c r="A45" s="11" t="n">
        <v>40</v>
      </c>
      <c r="B45" s="21" t="n"/>
      <c r="C45" s="22" t="n"/>
      <c r="D45" s="23" t="n"/>
      <c r="E45" s="23" t="n"/>
      <c r="F45" s="24" t="n"/>
      <c r="G45" s="25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18">
        <f>COUNTIF(H45:AL45,"حضور")</f>
        <v/>
      </c>
      <c r="AN45" s="19">
        <f>COUNTIF(H45:AL45,"غياب")</f>
        <v/>
      </c>
      <c r="AO45" s="20">
        <f>IFERROR(AM45/(AM45+AN45+COUNTIF(H45:AL45,"مستأذن"))*100,0)</f>
        <v/>
      </c>
    </row>
    <row r="46" ht="20" customHeight="1">
      <c r="A46" s="11" t="n">
        <v>41</v>
      </c>
      <c r="B46" s="12" t="n"/>
      <c r="C46" s="13" t="n"/>
      <c r="D46" s="14" t="n"/>
      <c r="E46" s="14" t="n"/>
      <c r="F46" s="15" t="n"/>
      <c r="G46" s="16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8">
        <f>COUNTIF(H46:AL46,"حضور")</f>
        <v/>
      </c>
      <c r="AN46" s="19">
        <f>COUNTIF(H46:AL46,"غياب")</f>
        <v/>
      </c>
      <c r="AO46" s="20">
        <f>IFERROR(AM46/(AM46+AN46+COUNTIF(H46:AL46,"مستأذن"))*100,0)</f>
        <v/>
      </c>
    </row>
    <row r="47" ht="20" customHeight="1">
      <c r="A47" s="11" t="n">
        <v>42</v>
      </c>
      <c r="B47" s="21" t="n"/>
      <c r="C47" s="22" t="n"/>
      <c r="D47" s="23" t="n"/>
      <c r="E47" s="23" t="n"/>
      <c r="F47" s="24" t="n"/>
      <c r="G47" s="25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18">
        <f>COUNTIF(H47:AL47,"حضور")</f>
        <v/>
      </c>
      <c r="AN47" s="19">
        <f>COUNTIF(H47:AL47,"غياب")</f>
        <v/>
      </c>
      <c r="AO47" s="20">
        <f>IFERROR(AM47/(AM47+AN47+COUNTIF(H47:AL47,"مستأذن"))*100,0)</f>
        <v/>
      </c>
    </row>
    <row r="48" ht="20" customHeight="1">
      <c r="A48" s="11" t="n">
        <v>43</v>
      </c>
      <c r="B48" s="12" t="n"/>
      <c r="C48" s="13" t="n"/>
      <c r="D48" s="14" t="n"/>
      <c r="E48" s="14" t="n"/>
      <c r="F48" s="15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8">
        <f>COUNTIF(H48:AL48,"حضور")</f>
        <v/>
      </c>
      <c r="AN48" s="19">
        <f>COUNTIF(H48:AL48,"غياب")</f>
        <v/>
      </c>
      <c r="AO48" s="20">
        <f>IFERROR(AM48/(AM48+AN48+COUNTIF(H48:AL48,"مستأذن"))*100,0)</f>
        <v/>
      </c>
    </row>
    <row r="49" ht="20" customHeight="1">
      <c r="A49" s="11" t="n">
        <v>44</v>
      </c>
      <c r="B49" s="21" t="n"/>
      <c r="C49" s="22" t="n"/>
      <c r="D49" s="23" t="n"/>
      <c r="E49" s="23" t="n"/>
      <c r="F49" s="24" t="n"/>
      <c r="G49" s="25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26" t="n"/>
      <c r="AJ49" s="26" t="n"/>
      <c r="AK49" s="26" t="n"/>
      <c r="AL49" s="26" t="n"/>
      <c r="AM49" s="18">
        <f>COUNTIF(H49:AL49,"حضور")</f>
        <v/>
      </c>
      <c r="AN49" s="19">
        <f>COUNTIF(H49:AL49,"غياب")</f>
        <v/>
      </c>
      <c r="AO49" s="20">
        <f>IFERROR(AM49/(AM49+AN49+COUNTIF(H49:AL49,"مستأذن"))*100,0)</f>
        <v/>
      </c>
    </row>
    <row r="50" ht="20" customHeight="1">
      <c r="A50" s="11" t="n">
        <v>45</v>
      </c>
      <c r="B50" s="12" t="n"/>
      <c r="C50" s="13" t="n"/>
      <c r="D50" s="14" t="n"/>
      <c r="E50" s="14" t="n"/>
      <c r="F50" s="15" t="n"/>
      <c r="G50" s="16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8">
        <f>COUNTIF(H50:AL50,"حضور")</f>
        <v/>
      </c>
      <c r="AN50" s="19">
        <f>COUNTIF(H50:AL50,"غياب")</f>
        <v/>
      </c>
      <c r="AO50" s="20">
        <f>IFERROR(AM50/(AM50+AN50+COUNTIF(H50:AL50,"مستأذن"))*100,0)</f>
        <v/>
      </c>
    </row>
    <row r="51" ht="20" customHeight="1">
      <c r="A51" s="11" t="n">
        <v>46</v>
      </c>
      <c r="B51" s="21" t="n"/>
      <c r="C51" s="22" t="n"/>
      <c r="D51" s="23" t="n"/>
      <c r="E51" s="23" t="n"/>
      <c r="F51" s="24" t="n"/>
      <c r="G51" s="25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26" t="n"/>
      <c r="AJ51" s="26" t="n"/>
      <c r="AK51" s="26" t="n"/>
      <c r="AL51" s="26" t="n"/>
      <c r="AM51" s="18">
        <f>COUNTIF(H51:AL51,"حضور")</f>
        <v/>
      </c>
      <c r="AN51" s="19">
        <f>COUNTIF(H51:AL51,"غياب")</f>
        <v/>
      </c>
      <c r="AO51" s="20">
        <f>IFERROR(AM51/(AM51+AN51+COUNTIF(H51:AL51,"مستأذن"))*100,0)</f>
        <v/>
      </c>
    </row>
    <row r="52" ht="20" customHeight="1">
      <c r="A52" s="11" t="n">
        <v>47</v>
      </c>
      <c r="B52" s="12" t="n"/>
      <c r="C52" s="13" t="n"/>
      <c r="D52" s="14" t="n"/>
      <c r="E52" s="14" t="n"/>
      <c r="F52" s="15" t="n"/>
      <c r="G52" s="16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8">
        <f>COUNTIF(H52:AL52,"حضور")</f>
        <v/>
      </c>
      <c r="AN52" s="19">
        <f>COUNTIF(H52:AL52,"غياب")</f>
        <v/>
      </c>
      <c r="AO52" s="20">
        <f>IFERROR(AM52/(AM52+AN52+COUNTIF(H52:AL52,"مستأذن"))*100,0)</f>
        <v/>
      </c>
    </row>
    <row r="53" ht="20" customHeight="1">
      <c r="A53" s="11" t="n">
        <v>48</v>
      </c>
      <c r="B53" s="21" t="n"/>
      <c r="C53" s="22" t="n"/>
      <c r="D53" s="23" t="n"/>
      <c r="E53" s="23" t="n"/>
      <c r="F53" s="24" t="n"/>
      <c r="G53" s="25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I53" s="26" t="n"/>
      <c r="AJ53" s="26" t="n"/>
      <c r="AK53" s="26" t="n"/>
      <c r="AL53" s="26" t="n"/>
      <c r="AM53" s="18">
        <f>COUNTIF(H53:AL53,"حضور")</f>
        <v/>
      </c>
      <c r="AN53" s="19">
        <f>COUNTIF(H53:AL53,"غياب")</f>
        <v/>
      </c>
      <c r="AO53" s="20">
        <f>IFERROR(AM53/(AM53+AN53+COUNTIF(H53:AL53,"مستأذن"))*100,0)</f>
        <v/>
      </c>
    </row>
    <row r="54" ht="20" customHeight="1">
      <c r="A54" s="11" t="n">
        <v>49</v>
      </c>
      <c r="B54" s="12" t="n"/>
      <c r="C54" s="13" t="n"/>
      <c r="D54" s="14" t="n"/>
      <c r="E54" s="14" t="n"/>
      <c r="F54" s="15" t="n"/>
      <c r="G54" s="16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8">
        <f>COUNTIF(H54:AL54,"حضور")</f>
        <v/>
      </c>
      <c r="AN54" s="19">
        <f>COUNTIF(H54:AL54,"غياب")</f>
        <v/>
      </c>
      <c r="AO54" s="20">
        <f>IFERROR(AM54/(AM54+AN54+COUNTIF(H54:AL54,"مستأذن"))*100,0)</f>
        <v/>
      </c>
    </row>
    <row r="55" ht="20" customHeight="1">
      <c r="A55" s="11" t="n">
        <v>50</v>
      </c>
      <c r="B55" s="21" t="n"/>
      <c r="C55" s="22" t="n"/>
      <c r="D55" s="23" t="n"/>
      <c r="E55" s="23" t="n"/>
      <c r="F55" s="24" t="n"/>
      <c r="G55" s="25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  <c r="AC55" s="26" t="n"/>
      <c r="AD55" s="26" t="n"/>
      <c r="AE55" s="26" t="n"/>
      <c r="AF55" s="26" t="n"/>
      <c r="AG55" s="26" t="n"/>
      <c r="AH55" s="26" t="n"/>
      <c r="AI55" s="26" t="n"/>
      <c r="AJ55" s="26" t="n"/>
      <c r="AK55" s="26" t="n"/>
      <c r="AL55" s="26" t="n"/>
      <c r="AM55" s="18">
        <f>COUNTIF(H55:AL55,"حضور")</f>
        <v/>
      </c>
      <c r="AN55" s="19">
        <f>COUNTIF(H55:AL55,"غياب")</f>
        <v/>
      </c>
      <c r="AO55" s="20">
        <f>IFERROR(AM55/(AM55+AN55+COUNTIF(H55:AL55,"مستأذن"))*100,0)</f>
        <v/>
      </c>
    </row>
    <row r="56" ht="20" customHeight="1">
      <c r="A56" s="11" t="n">
        <v>51</v>
      </c>
      <c r="B56" s="12" t="n"/>
      <c r="C56" s="13" t="n"/>
      <c r="D56" s="14" t="n"/>
      <c r="E56" s="14" t="n"/>
      <c r="F56" s="15" t="n"/>
      <c r="G56" s="16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8">
        <f>COUNTIF(H56:AL56,"حضور")</f>
        <v/>
      </c>
      <c r="AN56" s="19">
        <f>COUNTIF(H56:AL56,"غياب")</f>
        <v/>
      </c>
      <c r="AO56" s="20">
        <f>IFERROR(AM56/(AM56+AN56+COUNTIF(H56:AL56,"مستأذن"))*100,0)</f>
        <v/>
      </c>
    </row>
    <row r="57" ht="20" customHeight="1">
      <c r="A57" s="11" t="n">
        <v>52</v>
      </c>
      <c r="B57" s="21" t="n"/>
      <c r="C57" s="22" t="n"/>
      <c r="D57" s="23" t="n"/>
      <c r="E57" s="23" t="n"/>
      <c r="F57" s="24" t="n"/>
      <c r="G57" s="25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I57" s="26" t="n"/>
      <c r="AJ57" s="26" t="n"/>
      <c r="AK57" s="26" t="n"/>
      <c r="AL57" s="26" t="n"/>
      <c r="AM57" s="18">
        <f>COUNTIF(H57:AL57,"حضور")</f>
        <v/>
      </c>
      <c r="AN57" s="19">
        <f>COUNTIF(H57:AL57,"غياب")</f>
        <v/>
      </c>
      <c r="AO57" s="20">
        <f>IFERROR(AM57/(AM57+AN57+COUNTIF(H57:AL57,"مستأذن"))*100,0)</f>
        <v/>
      </c>
    </row>
    <row r="58" ht="20" customHeight="1">
      <c r="A58" s="11" t="n">
        <v>53</v>
      </c>
      <c r="B58" s="12" t="n"/>
      <c r="C58" s="13" t="n"/>
      <c r="D58" s="14" t="n"/>
      <c r="E58" s="14" t="n"/>
      <c r="F58" s="15" t="n"/>
      <c r="G58" s="16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8">
        <f>COUNTIF(H58:AL58,"حضور")</f>
        <v/>
      </c>
      <c r="AN58" s="19">
        <f>COUNTIF(H58:AL58,"غياب")</f>
        <v/>
      </c>
      <c r="AO58" s="20">
        <f>IFERROR(AM58/(AM58+AN58+COUNTIF(H58:AL58,"مستأذن"))*100,0)</f>
        <v/>
      </c>
    </row>
    <row r="59" ht="20" customHeight="1">
      <c r="A59" s="11" t="n">
        <v>54</v>
      </c>
      <c r="B59" s="21" t="n"/>
      <c r="C59" s="22" t="n"/>
      <c r="D59" s="23" t="n"/>
      <c r="E59" s="23" t="n"/>
      <c r="F59" s="24" t="n"/>
      <c r="G59" s="25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  <c r="AA59" s="26" t="n"/>
      <c r="AB59" s="26" t="n"/>
      <c r="AC59" s="26" t="n"/>
      <c r="AD59" s="26" t="n"/>
      <c r="AE59" s="26" t="n"/>
      <c r="AF59" s="26" t="n"/>
      <c r="AG59" s="26" t="n"/>
      <c r="AH59" s="26" t="n"/>
      <c r="AI59" s="26" t="n"/>
      <c r="AJ59" s="26" t="n"/>
      <c r="AK59" s="26" t="n"/>
      <c r="AL59" s="26" t="n"/>
      <c r="AM59" s="18">
        <f>COUNTIF(H59:AL59,"حضور")</f>
        <v/>
      </c>
      <c r="AN59" s="19">
        <f>COUNTIF(H59:AL59,"غياب")</f>
        <v/>
      </c>
      <c r="AO59" s="20">
        <f>IFERROR(AM59/(AM59+AN59+COUNTIF(H59:AL59,"مستأذن"))*100,0)</f>
        <v/>
      </c>
    </row>
    <row r="60" ht="20" customHeight="1">
      <c r="A60" s="11" t="n">
        <v>55</v>
      </c>
      <c r="B60" s="12" t="n"/>
      <c r="C60" s="13" t="n"/>
      <c r="D60" s="14" t="n"/>
      <c r="E60" s="14" t="n"/>
      <c r="F60" s="15" t="n"/>
      <c r="G60" s="16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8">
        <f>COUNTIF(H60:AL60,"حضور")</f>
        <v/>
      </c>
      <c r="AN60" s="19">
        <f>COUNTIF(H60:AL60,"غياب")</f>
        <v/>
      </c>
      <c r="AO60" s="20">
        <f>IFERROR(AM60/(AM60+AN60+COUNTIF(H60:AL60,"مستأذن"))*100,0)</f>
        <v/>
      </c>
    </row>
    <row r="61" ht="20" customHeight="1">
      <c r="A61" s="11" t="n">
        <v>56</v>
      </c>
      <c r="B61" s="21" t="n"/>
      <c r="C61" s="22" t="n"/>
      <c r="D61" s="23" t="n"/>
      <c r="E61" s="23" t="n"/>
      <c r="F61" s="24" t="n"/>
      <c r="G61" s="25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26" t="n"/>
      <c r="AG61" s="26" t="n"/>
      <c r="AH61" s="26" t="n"/>
      <c r="AI61" s="26" t="n"/>
      <c r="AJ61" s="26" t="n"/>
      <c r="AK61" s="26" t="n"/>
      <c r="AL61" s="26" t="n"/>
      <c r="AM61" s="18">
        <f>COUNTIF(H61:AL61,"حضور")</f>
        <v/>
      </c>
      <c r="AN61" s="19">
        <f>COUNTIF(H61:AL61,"غياب")</f>
        <v/>
      </c>
      <c r="AO61" s="20">
        <f>IFERROR(AM61/(AM61+AN61+COUNTIF(H61:AL61,"مستأذن"))*100,0)</f>
        <v/>
      </c>
    </row>
    <row r="62" ht="20" customHeight="1">
      <c r="A62" s="11" t="n">
        <v>57</v>
      </c>
      <c r="B62" s="12" t="n"/>
      <c r="C62" s="13" t="n"/>
      <c r="D62" s="14" t="n"/>
      <c r="E62" s="14" t="n"/>
      <c r="F62" s="15" t="n"/>
      <c r="G62" s="16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8">
        <f>COUNTIF(H62:AL62,"حضور")</f>
        <v/>
      </c>
      <c r="AN62" s="19">
        <f>COUNTIF(H62:AL62,"غياب")</f>
        <v/>
      </c>
      <c r="AO62" s="20">
        <f>IFERROR(AM62/(AM62+AN62+COUNTIF(H62:AL62,"مستأذن"))*100,0)</f>
        <v/>
      </c>
    </row>
    <row r="63" ht="20" customHeight="1">
      <c r="A63" s="11" t="n">
        <v>58</v>
      </c>
      <c r="B63" s="21" t="n"/>
      <c r="C63" s="22" t="n"/>
      <c r="D63" s="23" t="n"/>
      <c r="E63" s="23" t="n"/>
      <c r="F63" s="24" t="n"/>
      <c r="G63" s="25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26" t="n"/>
      <c r="AG63" s="26" t="n"/>
      <c r="AH63" s="26" t="n"/>
      <c r="AI63" s="26" t="n"/>
      <c r="AJ63" s="26" t="n"/>
      <c r="AK63" s="26" t="n"/>
      <c r="AL63" s="26" t="n"/>
      <c r="AM63" s="18">
        <f>COUNTIF(H63:AL63,"حضور")</f>
        <v/>
      </c>
      <c r="AN63" s="19">
        <f>COUNTIF(H63:AL63,"غياب")</f>
        <v/>
      </c>
      <c r="AO63" s="20">
        <f>IFERROR(AM63/(AM63+AN63+COUNTIF(H63:AL63,"مستأذن"))*100,0)</f>
        <v/>
      </c>
    </row>
    <row r="64" ht="20" customHeight="1">
      <c r="A64" s="11" t="n">
        <v>59</v>
      </c>
      <c r="B64" s="12" t="n"/>
      <c r="C64" s="13" t="n"/>
      <c r="D64" s="14" t="n"/>
      <c r="E64" s="14" t="n"/>
      <c r="F64" s="15" t="n"/>
      <c r="G64" s="16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8">
        <f>COUNTIF(H64:AL64,"حضور")</f>
        <v/>
      </c>
      <c r="AN64" s="19">
        <f>COUNTIF(H64:AL64,"غياب")</f>
        <v/>
      </c>
      <c r="AO64" s="20">
        <f>IFERROR(AM64/(AM64+AN64+COUNTIF(H64:AL64,"مستأذن"))*100,0)</f>
        <v/>
      </c>
    </row>
    <row r="65" ht="20" customHeight="1">
      <c r="A65" s="11" t="n">
        <v>60</v>
      </c>
      <c r="B65" s="21" t="n"/>
      <c r="C65" s="22" t="n"/>
      <c r="D65" s="23" t="n"/>
      <c r="E65" s="23" t="n"/>
      <c r="F65" s="24" t="n"/>
      <c r="G65" s="25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  <c r="AF65" s="26" t="n"/>
      <c r="AG65" s="26" t="n"/>
      <c r="AH65" s="26" t="n"/>
      <c r="AI65" s="26" t="n"/>
      <c r="AJ65" s="26" t="n"/>
      <c r="AK65" s="26" t="n"/>
      <c r="AL65" s="26" t="n"/>
      <c r="AM65" s="18">
        <f>COUNTIF(H65:AL65,"حضور")</f>
        <v/>
      </c>
      <c r="AN65" s="19">
        <f>COUNTIF(H65:AL65,"غياب")</f>
        <v/>
      </c>
      <c r="AO65" s="20">
        <f>IFERROR(AM65/(AM65+AN65+COUNTIF(H65:AL65,"مستأذن"))*100,0)</f>
        <v/>
      </c>
    </row>
    <row r="66" ht="20" customHeight="1">
      <c r="A66" s="11" t="n">
        <v>61</v>
      </c>
      <c r="B66" s="12" t="n"/>
      <c r="C66" s="13" t="n"/>
      <c r="D66" s="14" t="n"/>
      <c r="E66" s="14" t="n"/>
      <c r="F66" s="15" t="n"/>
      <c r="G66" s="16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8">
        <f>COUNTIF(H66:AL66,"حضور")</f>
        <v/>
      </c>
      <c r="AN66" s="19">
        <f>COUNTIF(H66:AL66,"غياب")</f>
        <v/>
      </c>
      <c r="AO66" s="20">
        <f>IFERROR(AM66/(AM66+AN66+COUNTIF(H66:AL66,"مستأذن"))*100,0)</f>
        <v/>
      </c>
    </row>
    <row r="67" ht="20" customHeight="1">
      <c r="A67" s="11" t="n">
        <v>62</v>
      </c>
      <c r="B67" s="21" t="n"/>
      <c r="C67" s="22" t="n"/>
      <c r="D67" s="23" t="n"/>
      <c r="E67" s="23" t="n"/>
      <c r="F67" s="24" t="n"/>
      <c r="G67" s="25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  <c r="AC67" s="26" t="n"/>
      <c r="AD67" s="26" t="n"/>
      <c r="AE67" s="26" t="n"/>
      <c r="AF67" s="26" t="n"/>
      <c r="AG67" s="26" t="n"/>
      <c r="AH67" s="26" t="n"/>
      <c r="AI67" s="26" t="n"/>
      <c r="AJ67" s="26" t="n"/>
      <c r="AK67" s="26" t="n"/>
      <c r="AL67" s="26" t="n"/>
      <c r="AM67" s="18">
        <f>COUNTIF(H67:AL67,"حضور")</f>
        <v/>
      </c>
      <c r="AN67" s="19">
        <f>COUNTIF(H67:AL67,"غياب")</f>
        <v/>
      </c>
      <c r="AO67" s="20">
        <f>IFERROR(AM67/(AM67+AN67+COUNTIF(H67:AL67,"مستأذن"))*100,0)</f>
        <v/>
      </c>
    </row>
    <row r="68" ht="20" customHeight="1">
      <c r="A68" s="11" t="n">
        <v>63</v>
      </c>
      <c r="B68" s="12" t="n"/>
      <c r="C68" s="13" t="n"/>
      <c r="D68" s="14" t="n"/>
      <c r="E68" s="14" t="n"/>
      <c r="F68" s="15" t="n"/>
      <c r="G68" s="16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8">
        <f>COUNTIF(H68:AL68,"حضور")</f>
        <v/>
      </c>
      <c r="AN68" s="19">
        <f>COUNTIF(H68:AL68,"غياب")</f>
        <v/>
      </c>
      <c r="AO68" s="20">
        <f>IFERROR(AM68/(AM68+AN68+COUNTIF(H68:AL68,"مستأذن"))*100,0)</f>
        <v/>
      </c>
    </row>
    <row r="69" ht="20" customHeight="1">
      <c r="A69" s="11" t="n">
        <v>64</v>
      </c>
      <c r="B69" s="21" t="n"/>
      <c r="C69" s="22" t="n"/>
      <c r="D69" s="23" t="n"/>
      <c r="E69" s="23" t="n"/>
      <c r="F69" s="24" t="n"/>
      <c r="G69" s="25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  <c r="AD69" s="26" t="n"/>
      <c r="AE69" s="26" t="n"/>
      <c r="AF69" s="26" t="n"/>
      <c r="AG69" s="26" t="n"/>
      <c r="AH69" s="26" t="n"/>
      <c r="AI69" s="26" t="n"/>
      <c r="AJ69" s="26" t="n"/>
      <c r="AK69" s="26" t="n"/>
      <c r="AL69" s="26" t="n"/>
      <c r="AM69" s="18">
        <f>COUNTIF(H69:AL69,"حضور")</f>
        <v/>
      </c>
      <c r="AN69" s="19">
        <f>COUNTIF(H69:AL69,"غياب")</f>
        <v/>
      </c>
      <c r="AO69" s="20">
        <f>IFERROR(AM69/(AM69+AN69+COUNTIF(H69:AL69,"مستأذن"))*100,0)</f>
        <v/>
      </c>
    </row>
    <row r="70" ht="20" customHeight="1">
      <c r="A70" s="11" t="n">
        <v>65</v>
      </c>
      <c r="B70" s="12" t="n"/>
      <c r="C70" s="13" t="n"/>
      <c r="D70" s="14" t="n"/>
      <c r="E70" s="14" t="n"/>
      <c r="F70" s="15" t="n"/>
      <c r="G70" s="16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8">
        <f>COUNTIF(H70:AL70,"حضور")</f>
        <v/>
      </c>
      <c r="AN70" s="19">
        <f>COUNTIF(H70:AL70,"غياب")</f>
        <v/>
      </c>
      <c r="AO70" s="20">
        <f>IFERROR(AM70/(AM70+AN70+COUNTIF(H70:AL70,"مستأذن"))*100,0)</f>
        <v/>
      </c>
    </row>
    <row r="71" ht="20" customHeight="1">
      <c r="A71" s="11" t="n">
        <v>66</v>
      </c>
      <c r="B71" s="21" t="n"/>
      <c r="C71" s="22" t="n"/>
      <c r="D71" s="23" t="n"/>
      <c r="E71" s="23" t="n"/>
      <c r="F71" s="24" t="n"/>
      <c r="G71" s="25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18">
        <f>COUNTIF(H71:AL71,"حضور")</f>
        <v/>
      </c>
      <c r="AN71" s="19">
        <f>COUNTIF(H71:AL71,"غياب")</f>
        <v/>
      </c>
      <c r="AO71" s="20">
        <f>IFERROR(AM71/(AM71+AN71+COUNTIF(H71:AL71,"مستأذن"))*100,0)</f>
        <v/>
      </c>
    </row>
    <row r="72" ht="20" customHeight="1">
      <c r="A72" s="11" t="n">
        <v>67</v>
      </c>
      <c r="B72" s="12" t="n"/>
      <c r="C72" s="13" t="n"/>
      <c r="D72" s="14" t="n"/>
      <c r="E72" s="14" t="n"/>
      <c r="F72" s="15" t="n"/>
      <c r="G72" s="16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8">
        <f>COUNTIF(H72:AL72,"حضور")</f>
        <v/>
      </c>
      <c r="AN72" s="19">
        <f>COUNTIF(H72:AL72,"غياب")</f>
        <v/>
      </c>
      <c r="AO72" s="20">
        <f>IFERROR(AM72/(AM72+AN72+COUNTIF(H72:AL72,"مستأذن"))*100,0)</f>
        <v/>
      </c>
    </row>
    <row r="73" ht="20" customHeight="1">
      <c r="A73" s="11" t="n">
        <v>68</v>
      </c>
      <c r="B73" s="21" t="n"/>
      <c r="C73" s="22" t="n"/>
      <c r="D73" s="23" t="n"/>
      <c r="E73" s="23" t="n"/>
      <c r="F73" s="24" t="n"/>
      <c r="G73" s="25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  <c r="AC73" s="26" t="n"/>
      <c r="AD73" s="26" t="n"/>
      <c r="AE73" s="26" t="n"/>
      <c r="AF73" s="26" t="n"/>
      <c r="AG73" s="26" t="n"/>
      <c r="AH73" s="26" t="n"/>
      <c r="AI73" s="26" t="n"/>
      <c r="AJ73" s="26" t="n"/>
      <c r="AK73" s="26" t="n"/>
      <c r="AL73" s="26" t="n"/>
      <c r="AM73" s="18">
        <f>COUNTIF(H73:AL73,"حضور")</f>
        <v/>
      </c>
      <c r="AN73" s="19">
        <f>COUNTIF(H73:AL73,"غياب")</f>
        <v/>
      </c>
      <c r="AO73" s="20">
        <f>IFERROR(AM73/(AM73+AN73+COUNTIF(H73:AL73,"مستأذن"))*100,0)</f>
        <v/>
      </c>
    </row>
    <row r="74" ht="20" customHeight="1">
      <c r="A74" s="11" t="n">
        <v>69</v>
      </c>
      <c r="B74" s="12" t="n"/>
      <c r="C74" s="13" t="n"/>
      <c r="D74" s="14" t="n"/>
      <c r="E74" s="14" t="n"/>
      <c r="F74" s="15" t="n"/>
      <c r="G74" s="16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8">
        <f>COUNTIF(H74:AL74,"حضور")</f>
        <v/>
      </c>
      <c r="AN74" s="19">
        <f>COUNTIF(H74:AL74,"غياب")</f>
        <v/>
      </c>
      <c r="AO74" s="20">
        <f>IFERROR(AM74/(AM74+AN74+COUNTIF(H74:AL74,"مستأذن"))*100,0)</f>
        <v/>
      </c>
    </row>
    <row r="75" ht="20" customHeight="1">
      <c r="A75" s="11" t="n">
        <v>70</v>
      </c>
      <c r="B75" s="21" t="n"/>
      <c r="C75" s="22" t="n"/>
      <c r="D75" s="23" t="n"/>
      <c r="E75" s="23" t="n"/>
      <c r="F75" s="24" t="n"/>
      <c r="G75" s="25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  <c r="AE75" s="26" t="n"/>
      <c r="AF75" s="26" t="n"/>
      <c r="AG75" s="26" t="n"/>
      <c r="AH75" s="26" t="n"/>
      <c r="AI75" s="26" t="n"/>
      <c r="AJ75" s="26" t="n"/>
      <c r="AK75" s="26" t="n"/>
      <c r="AL75" s="26" t="n"/>
      <c r="AM75" s="18">
        <f>COUNTIF(H75:AL75,"حضور")</f>
        <v/>
      </c>
      <c r="AN75" s="19">
        <f>COUNTIF(H75:AL75,"غياب")</f>
        <v/>
      </c>
      <c r="AO75" s="20">
        <f>IFERROR(AM75/(AM75+AN75+COUNTIF(H75:AL75,"مستأذن"))*100,0)</f>
        <v/>
      </c>
    </row>
    <row r="76" ht="20" customHeight="1">
      <c r="A76" s="11" t="n">
        <v>71</v>
      </c>
      <c r="B76" s="12" t="n"/>
      <c r="C76" s="13" t="n"/>
      <c r="D76" s="14" t="n"/>
      <c r="E76" s="14" t="n"/>
      <c r="F76" s="15" t="n"/>
      <c r="G76" s="16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8">
        <f>COUNTIF(H76:AL76,"حضور")</f>
        <v/>
      </c>
      <c r="AN76" s="19">
        <f>COUNTIF(H76:AL76,"غياب")</f>
        <v/>
      </c>
      <c r="AO76" s="20">
        <f>IFERROR(AM76/(AM76+AN76+COUNTIF(H76:AL76,"مستأذن"))*100,0)</f>
        <v/>
      </c>
    </row>
    <row r="77" ht="20" customHeight="1">
      <c r="A77" s="11" t="n">
        <v>72</v>
      </c>
      <c r="B77" s="21" t="n"/>
      <c r="C77" s="22" t="n"/>
      <c r="D77" s="23" t="n"/>
      <c r="E77" s="23" t="n"/>
      <c r="F77" s="24" t="n"/>
      <c r="G77" s="25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  <c r="AC77" s="26" t="n"/>
      <c r="AD77" s="26" t="n"/>
      <c r="AE77" s="26" t="n"/>
      <c r="AF77" s="26" t="n"/>
      <c r="AG77" s="26" t="n"/>
      <c r="AH77" s="26" t="n"/>
      <c r="AI77" s="26" t="n"/>
      <c r="AJ77" s="26" t="n"/>
      <c r="AK77" s="26" t="n"/>
      <c r="AL77" s="26" t="n"/>
      <c r="AM77" s="18">
        <f>COUNTIF(H77:AL77,"حضور")</f>
        <v/>
      </c>
      <c r="AN77" s="19">
        <f>COUNTIF(H77:AL77,"غياب")</f>
        <v/>
      </c>
      <c r="AO77" s="20">
        <f>IFERROR(AM77/(AM77+AN77+COUNTIF(H77:AL77,"مستأذن"))*100,0)</f>
        <v/>
      </c>
    </row>
    <row r="78" ht="20" customHeight="1">
      <c r="A78" s="11" t="n">
        <v>73</v>
      </c>
      <c r="B78" s="12" t="n"/>
      <c r="C78" s="13" t="n"/>
      <c r="D78" s="14" t="n"/>
      <c r="E78" s="14" t="n"/>
      <c r="F78" s="15" t="n"/>
      <c r="G78" s="16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8">
        <f>COUNTIF(H78:AL78,"حضور")</f>
        <v/>
      </c>
      <c r="AN78" s="19">
        <f>COUNTIF(H78:AL78,"غياب")</f>
        <v/>
      </c>
      <c r="AO78" s="20">
        <f>IFERROR(AM78/(AM78+AN78+COUNTIF(H78:AL78,"مستأذن"))*100,0)</f>
        <v/>
      </c>
    </row>
    <row r="79" ht="20" customHeight="1">
      <c r="A79" s="11" t="n">
        <v>74</v>
      </c>
      <c r="B79" s="21" t="n"/>
      <c r="C79" s="22" t="n"/>
      <c r="D79" s="23" t="n"/>
      <c r="E79" s="23" t="n"/>
      <c r="F79" s="24" t="n"/>
      <c r="G79" s="25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  <c r="AC79" s="26" t="n"/>
      <c r="AD79" s="26" t="n"/>
      <c r="AE79" s="26" t="n"/>
      <c r="AF79" s="26" t="n"/>
      <c r="AG79" s="26" t="n"/>
      <c r="AH79" s="26" t="n"/>
      <c r="AI79" s="26" t="n"/>
      <c r="AJ79" s="26" t="n"/>
      <c r="AK79" s="26" t="n"/>
      <c r="AL79" s="26" t="n"/>
      <c r="AM79" s="18">
        <f>COUNTIF(H79:AL79,"حضور")</f>
        <v/>
      </c>
      <c r="AN79" s="19">
        <f>COUNTIF(H79:AL79,"غياب")</f>
        <v/>
      </c>
      <c r="AO79" s="20">
        <f>IFERROR(AM79/(AM79+AN79+COUNTIF(H79:AL79,"مستأذن"))*100,0)</f>
        <v/>
      </c>
    </row>
    <row r="80" ht="20" customHeight="1">
      <c r="A80" s="11" t="n">
        <v>75</v>
      </c>
      <c r="B80" s="12" t="n"/>
      <c r="C80" s="13" t="n"/>
      <c r="D80" s="14" t="n"/>
      <c r="E80" s="14" t="n"/>
      <c r="F80" s="15" t="n"/>
      <c r="G80" s="16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8">
        <f>COUNTIF(H80:AL80,"حضور")</f>
        <v/>
      </c>
      <c r="AN80" s="19">
        <f>COUNTIF(H80:AL80,"غياب")</f>
        <v/>
      </c>
      <c r="AO80" s="20">
        <f>IFERROR(AM80/(AM80+AN80+COUNTIF(H80:AL80,"مستأذن"))*100,0)</f>
        <v/>
      </c>
    </row>
    <row r="81" ht="20" customHeight="1">
      <c r="A81" s="11" t="n">
        <v>76</v>
      </c>
      <c r="B81" s="21" t="n"/>
      <c r="C81" s="22" t="n"/>
      <c r="D81" s="23" t="n"/>
      <c r="E81" s="23" t="n"/>
      <c r="F81" s="24" t="n"/>
      <c r="G81" s="25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  <c r="AC81" s="26" t="n"/>
      <c r="AD81" s="26" t="n"/>
      <c r="AE81" s="26" t="n"/>
      <c r="AF81" s="26" t="n"/>
      <c r="AG81" s="26" t="n"/>
      <c r="AH81" s="26" t="n"/>
      <c r="AI81" s="26" t="n"/>
      <c r="AJ81" s="26" t="n"/>
      <c r="AK81" s="26" t="n"/>
      <c r="AL81" s="26" t="n"/>
      <c r="AM81" s="18">
        <f>COUNTIF(H81:AL81,"حضور")</f>
        <v/>
      </c>
      <c r="AN81" s="19">
        <f>COUNTIF(H81:AL81,"غياب")</f>
        <v/>
      </c>
      <c r="AO81" s="20">
        <f>IFERROR(AM81/(AM81+AN81+COUNTIF(H81:AL81,"مستأذن"))*100,0)</f>
        <v/>
      </c>
    </row>
    <row r="82" ht="20" customHeight="1">
      <c r="A82" s="11" t="n">
        <v>77</v>
      </c>
      <c r="B82" s="12" t="n"/>
      <c r="C82" s="13" t="n"/>
      <c r="D82" s="14" t="n"/>
      <c r="E82" s="14" t="n"/>
      <c r="F82" s="15" t="n"/>
      <c r="G82" s="16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8">
        <f>COUNTIF(H82:AL82,"حضور")</f>
        <v/>
      </c>
      <c r="AN82" s="19">
        <f>COUNTIF(H82:AL82,"غياب")</f>
        <v/>
      </c>
      <c r="AO82" s="20">
        <f>IFERROR(AM82/(AM82+AN82+COUNTIF(H82:AL82,"مستأذن"))*100,0)</f>
        <v/>
      </c>
    </row>
    <row r="83" ht="20" customHeight="1">
      <c r="A83" s="11" t="n">
        <v>78</v>
      </c>
      <c r="B83" s="21" t="n"/>
      <c r="C83" s="22" t="n"/>
      <c r="D83" s="23" t="n"/>
      <c r="E83" s="23" t="n"/>
      <c r="F83" s="24" t="n"/>
      <c r="G83" s="25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  <c r="AC83" s="26" t="n"/>
      <c r="AD83" s="26" t="n"/>
      <c r="AE83" s="26" t="n"/>
      <c r="AF83" s="26" t="n"/>
      <c r="AG83" s="26" t="n"/>
      <c r="AH83" s="26" t="n"/>
      <c r="AI83" s="26" t="n"/>
      <c r="AJ83" s="26" t="n"/>
      <c r="AK83" s="26" t="n"/>
      <c r="AL83" s="26" t="n"/>
      <c r="AM83" s="18">
        <f>COUNTIF(H83:AL83,"حضور")</f>
        <v/>
      </c>
      <c r="AN83" s="19">
        <f>COUNTIF(H83:AL83,"غياب")</f>
        <v/>
      </c>
      <c r="AO83" s="20">
        <f>IFERROR(AM83/(AM83+AN83+COUNTIF(H83:AL83,"مستأذن"))*100,0)</f>
        <v/>
      </c>
    </row>
    <row r="84" ht="20" customHeight="1">
      <c r="A84" s="11" t="n">
        <v>79</v>
      </c>
      <c r="B84" s="12" t="n"/>
      <c r="C84" s="13" t="n"/>
      <c r="D84" s="14" t="n"/>
      <c r="E84" s="14" t="n"/>
      <c r="F84" s="15" t="n"/>
      <c r="G84" s="16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8">
        <f>COUNTIF(H84:AL84,"حضور")</f>
        <v/>
      </c>
      <c r="AN84" s="19">
        <f>COUNTIF(H84:AL84,"غياب")</f>
        <v/>
      </c>
      <c r="AO84" s="20">
        <f>IFERROR(AM84/(AM84+AN84+COUNTIF(H84:AL84,"مستأذن"))*100,0)</f>
        <v/>
      </c>
    </row>
    <row r="85" ht="20" customHeight="1">
      <c r="A85" s="11" t="n">
        <v>80</v>
      </c>
      <c r="B85" s="21" t="n"/>
      <c r="C85" s="22" t="n"/>
      <c r="D85" s="23" t="n"/>
      <c r="E85" s="23" t="n"/>
      <c r="F85" s="24" t="n"/>
      <c r="G85" s="25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  <c r="AE85" s="26" t="n"/>
      <c r="AF85" s="26" t="n"/>
      <c r="AG85" s="26" t="n"/>
      <c r="AH85" s="26" t="n"/>
      <c r="AI85" s="26" t="n"/>
      <c r="AJ85" s="26" t="n"/>
      <c r="AK85" s="26" t="n"/>
      <c r="AL85" s="26" t="n"/>
      <c r="AM85" s="18">
        <f>COUNTIF(H85:AL85,"حضور")</f>
        <v/>
      </c>
      <c r="AN85" s="19">
        <f>COUNTIF(H85:AL85,"غياب")</f>
        <v/>
      </c>
      <c r="AO85" s="20">
        <f>IFERROR(AM85/(AM85+AN85+COUNTIF(H85:AL85,"مستأذن"))*100,0)</f>
        <v/>
      </c>
    </row>
    <row r="86" ht="20" customHeight="1">
      <c r="A86" s="11" t="n">
        <v>81</v>
      </c>
      <c r="B86" s="12" t="n"/>
      <c r="C86" s="13" t="n"/>
      <c r="D86" s="14" t="n"/>
      <c r="E86" s="14" t="n"/>
      <c r="F86" s="15" t="n"/>
      <c r="G86" s="16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8">
        <f>COUNTIF(H86:AL86,"حضور")</f>
        <v/>
      </c>
      <c r="AN86" s="19">
        <f>COUNTIF(H86:AL86,"غياب")</f>
        <v/>
      </c>
      <c r="AO86" s="20">
        <f>IFERROR(AM86/(AM86+AN86+COUNTIF(H86:AL86,"مستأذن"))*100,0)</f>
        <v/>
      </c>
    </row>
    <row r="87" ht="20" customHeight="1">
      <c r="A87" s="11" t="n">
        <v>82</v>
      </c>
      <c r="B87" s="21" t="n"/>
      <c r="C87" s="22" t="n"/>
      <c r="D87" s="23" t="n"/>
      <c r="E87" s="23" t="n"/>
      <c r="F87" s="24" t="n"/>
      <c r="G87" s="25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  <c r="AC87" s="26" t="n"/>
      <c r="AD87" s="26" t="n"/>
      <c r="AE87" s="26" t="n"/>
      <c r="AF87" s="26" t="n"/>
      <c r="AG87" s="26" t="n"/>
      <c r="AH87" s="26" t="n"/>
      <c r="AI87" s="26" t="n"/>
      <c r="AJ87" s="26" t="n"/>
      <c r="AK87" s="26" t="n"/>
      <c r="AL87" s="26" t="n"/>
      <c r="AM87" s="18">
        <f>COUNTIF(H87:AL87,"حضور")</f>
        <v/>
      </c>
      <c r="AN87" s="19">
        <f>COUNTIF(H87:AL87,"غياب")</f>
        <v/>
      </c>
      <c r="AO87" s="20">
        <f>IFERROR(AM87/(AM87+AN87+COUNTIF(H87:AL87,"مستأذن"))*100,0)</f>
        <v/>
      </c>
    </row>
    <row r="88" ht="20" customHeight="1">
      <c r="A88" s="11" t="n">
        <v>83</v>
      </c>
      <c r="B88" s="12" t="n"/>
      <c r="C88" s="13" t="n"/>
      <c r="D88" s="14" t="n"/>
      <c r="E88" s="14" t="n"/>
      <c r="F88" s="15" t="n"/>
      <c r="G88" s="16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8">
        <f>COUNTIF(H88:AL88,"حضور")</f>
        <v/>
      </c>
      <c r="AN88" s="19">
        <f>COUNTIF(H88:AL88,"غياب")</f>
        <v/>
      </c>
      <c r="AO88" s="20">
        <f>IFERROR(AM88/(AM88+AN88+COUNTIF(H88:AL88,"مستأذن"))*100,0)</f>
        <v/>
      </c>
    </row>
    <row r="89" ht="20" customHeight="1">
      <c r="A89" s="11" t="n">
        <v>84</v>
      </c>
      <c r="B89" s="21" t="n"/>
      <c r="C89" s="22" t="n"/>
      <c r="D89" s="23" t="n"/>
      <c r="E89" s="23" t="n"/>
      <c r="F89" s="24" t="n"/>
      <c r="G89" s="25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18">
        <f>COUNTIF(H89:AL89,"حضور")</f>
        <v/>
      </c>
      <c r="AN89" s="19">
        <f>COUNTIF(H89:AL89,"غياب")</f>
        <v/>
      </c>
      <c r="AO89" s="20">
        <f>IFERROR(AM89/(AM89+AN89+COUNTIF(H89:AL89,"مستأذن"))*100,0)</f>
        <v/>
      </c>
    </row>
    <row r="90" ht="20" customHeight="1">
      <c r="A90" s="11" t="n">
        <v>85</v>
      </c>
      <c r="B90" s="12" t="n"/>
      <c r="C90" s="13" t="n"/>
      <c r="D90" s="14" t="n"/>
      <c r="E90" s="14" t="n"/>
      <c r="F90" s="15" t="n"/>
      <c r="G90" s="16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8">
        <f>COUNTIF(H90:AL90,"حضور")</f>
        <v/>
      </c>
      <c r="AN90" s="19">
        <f>COUNTIF(H90:AL90,"غياب")</f>
        <v/>
      </c>
      <c r="AO90" s="20">
        <f>IFERROR(AM90/(AM90+AN90+COUNTIF(H90:AL90,"مستأذن"))*100,0)</f>
        <v/>
      </c>
    </row>
    <row r="91" ht="20" customHeight="1">
      <c r="A91" s="11" t="n">
        <v>86</v>
      </c>
      <c r="B91" s="21" t="n"/>
      <c r="C91" s="22" t="n"/>
      <c r="D91" s="23" t="n"/>
      <c r="E91" s="23" t="n"/>
      <c r="F91" s="24" t="n"/>
      <c r="G91" s="25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  <c r="AC91" s="26" t="n"/>
      <c r="AD91" s="26" t="n"/>
      <c r="AE91" s="26" t="n"/>
      <c r="AF91" s="26" t="n"/>
      <c r="AG91" s="26" t="n"/>
      <c r="AH91" s="26" t="n"/>
      <c r="AI91" s="26" t="n"/>
      <c r="AJ91" s="26" t="n"/>
      <c r="AK91" s="26" t="n"/>
      <c r="AL91" s="26" t="n"/>
      <c r="AM91" s="18">
        <f>COUNTIF(H91:AL91,"حضور")</f>
        <v/>
      </c>
      <c r="AN91" s="19">
        <f>COUNTIF(H91:AL91,"غياب")</f>
        <v/>
      </c>
      <c r="AO91" s="20">
        <f>IFERROR(AM91/(AM91+AN91+COUNTIF(H91:AL91,"مستأذن"))*100,0)</f>
        <v/>
      </c>
    </row>
    <row r="92" ht="20" customHeight="1">
      <c r="A92" s="11" t="n">
        <v>87</v>
      </c>
      <c r="B92" s="12" t="n"/>
      <c r="C92" s="13" t="n"/>
      <c r="D92" s="14" t="n"/>
      <c r="E92" s="14" t="n"/>
      <c r="F92" s="15" t="n"/>
      <c r="G92" s="16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8">
        <f>COUNTIF(H92:AL92,"حضور")</f>
        <v/>
      </c>
      <c r="AN92" s="19">
        <f>COUNTIF(H92:AL92,"غياب")</f>
        <v/>
      </c>
      <c r="AO92" s="20">
        <f>IFERROR(AM92/(AM92+AN92+COUNTIF(H92:AL92,"مستأذن"))*100,0)</f>
        <v/>
      </c>
    </row>
    <row r="93" ht="20" customHeight="1">
      <c r="A93" s="11" t="n">
        <v>88</v>
      </c>
      <c r="B93" s="21" t="n"/>
      <c r="C93" s="22" t="n"/>
      <c r="D93" s="23" t="n"/>
      <c r="E93" s="23" t="n"/>
      <c r="F93" s="24" t="n"/>
      <c r="G93" s="25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  <c r="AC93" s="26" t="n"/>
      <c r="AD93" s="26" t="n"/>
      <c r="AE93" s="26" t="n"/>
      <c r="AF93" s="26" t="n"/>
      <c r="AG93" s="26" t="n"/>
      <c r="AH93" s="26" t="n"/>
      <c r="AI93" s="26" t="n"/>
      <c r="AJ93" s="26" t="n"/>
      <c r="AK93" s="26" t="n"/>
      <c r="AL93" s="26" t="n"/>
      <c r="AM93" s="18">
        <f>COUNTIF(H93:AL93,"حضور")</f>
        <v/>
      </c>
      <c r="AN93" s="19">
        <f>COUNTIF(H93:AL93,"غياب")</f>
        <v/>
      </c>
      <c r="AO93" s="20">
        <f>IFERROR(AM93/(AM93+AN93+COUNTIF(H93:AL93,"مستأذن"))*100,0)</f>
        <v/>
      </c>
    </row>
    <row r="94" ht="20" customHeight="1">
      <c r="A94" s="11" t="n">
        <v>89</v>
      </c>
      <c r="B94" s="12" t="n"/>
      <c r="C94" s="13" t="n"/>
      <c r="D94" s="14" t="n"/>
      <c r="E94" s="14" t="n"/>
      <c r="F94" s="15" t="n"/>
      <c r="G94" s="16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8">
        <f>COUNTIF(H94:AL94,"حضور")</f>
        <v/>
      </c>
      <c r="AN94" s="19">
        <f>COUNTIF(H94:AL94,"غياب")</f>
        <v/>
      </c>
      <c r="AO94" s="20">
        <f>IFERROR(AM94/(AM94+AN94+COUNTIF(H94:AL94,"مستأذن"))*100,0)</f>
        <v/>
      </c>
    </row>
    <row r="95" ht="20" customHeight="1">
      <c r="A95" s="11" t="n">
        <v>90</v>
      </c>
      <c r="B95" s="21" t="n"/>
      <c r="C95" s="22" t="n"/>
      <c r="D95" s="23" t="n"/>
      <c r="E95" s="23" t="n"/>
      <c r="F95" s="24" t="n"/>
      <c r="G95" s="25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  <c r="AC95" s="26" t="n"/>
      <c r="AD95" s="26" t="n"/>
      <c r="AE95" s="26" t="n"/>
      <c r="AF95" s="26" t="n"/>
      <c r="AG95" s="26" t="n"/>
      <c r="AH95" s="26" t="n"/>
      <c r="AI95" s="26" t="n"/>
      <c r="AJ95" s="26" t="n"/>
      <c r="AK95" s="26" t="n"/>
      <c r="AL95" s="26" t="n"/>
      <c r="AM95" s="18">
        <f>COUNTIF(H95:AL95,"حضور")</f>
        <v/>
      </c>
      <c r="AN95" s="19">
        <f>COUNTIF(H95:AL95,"غياب")</f>
        <v/>
      </c>
      <c r="AO95" s="20">
        <f>IFERROR(AM95/(AM95+AN95+COUNTIF(H95:AL95,"مستأذن"))*100,0)</f>
        <v/>
      </c>
    </row>
    <row r="96" ht="20" customHeight="1">
      <c r="A96" s="11" t="n">
        <v>91</v>
      </c>
      <c r="B96" s="12" t="n"/>
      <c r="C96" s="13" t="n"/>
      <c r="D96" s="14" t="n"/>
      <c r="E96" s="14" t="n"/>
      <c r="F96" s="15" t="n"/>
      <c r="G96" s="16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8">
        <f>COUNTIF(H96:AL96,"حضور")</f>
        <v/>
      </c>
      <c r="AN96" s="19">
        <f>COUNTIF(H96:AL96,"غياب")</f>
        <v/>
      </c>
      <c r="AO96" s="20">
        <f>IFERROR(AM96/(AM96+AN96+COUNTIF(H96:AL96,"مستأذن"))*100,0)</f>
        <v/>
      </c>
    </row>
    <row r="97" ht="20" customHeight="1">
      <c r="A97" s="11" t="n">
        <v>92</v>
      </c>
      <c r="B97" s="21" t="n"/>
      <c r="C97" s="22" t="n"/>
      <c r="D97" s="23" t="n"/>
      <c r="E97" s="23" t="n"/>
      <c r="F97" s="24" t="n"/>
      <c r="G97" s="25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6" t="n"/>
      <c r="AB97" s="26" t="n"/>
      <c r="AC97" s="26" t="n"/>
      <c r="AD97" s="26" t="n"/>
      <c r="AE97" s="26" t="n"/>
      <c r="AF97" s="26" t="n"/>
      <c r="AG97" s="26" t="n"/>
      <c r="AH97" s="26" t="n"/>
      <c r="AI97" s="26" t="n"/>
      <c r="AJ97" s="26" t="n"/>
      <c r="AK97" s="26" t="n"/>
      <c r="AL97" s="26" t="n"/>
      <c r="AM97" s="18">
        <f>COUNTIF(H97:AL97,"حضور")</f>
        <v/>
      </c>
      <c r="AN97" s="19">
        <f>COUNTIF(H97:AL97,"غياب")</f>
        <v/>
      </c>
      <c r="AO97" s="20">
        <f>IFERROR(AM97/(AM97+AN97+COUNTIF(H97:AL97,"مستأذن"))*100,0)</f>
        <v/>
      </c>
    </row>
    <row r="98" ht="20" customHeight="1">
      <c r="A98" s="11" t="n">
        <v>93</v>
      </c>
      <c r="B98" s="12" t="n"/>
      <c r="C98" s="13" t="n"/>
      <c r="D98" s="14" t="n"/>
      <c r="E98" s="14" t="n"/>
      <c r="F98" s="15" t="n"/>
      <c r="G98" s="16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8">
        <f>COUNTIF(H98:AL98,"حضور")</f>
        <v/>
      </c>
      <c r="AN98" s="19">
        <f>COUNTIF(H98:AL98,"غياب")</f>
        <v/>
      </c>
      <c r="AO98" s="20">
        <f>IFERROR(AM98/(AM98+AN98+COUNTIF(H98:AL98,"مستأذن"))*100,0)</f>
        <v/>
      </c>
    </row>
    <row r="99" ht="20" customHeight="1">
      <c r="A99" s="11" t="n">
        <v>94</v>
      </c>
      <c r="B99" s="21" t="n"/>
      <c r="C99" s="22" t="n"/>
      <c r="D99" s="23" t="n"/>
      <c r="E99" s="23" t="n"/>
      <c r="F99" s="24" t="n"/>
      <c r="G99" s="25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  <c r="AD99" s="26" t="n"/>
      <c r="AE99" s="26" t="n"/>
      <c r="AF99" s="26" t="n"/>
      <c r="AG99" s="26" t="n"/>
      <c r="AH99" s="26" t="n"/>
      <c r="AI99" s="26" t="n"/>
      <c r="AJ99" s="26" t="n"/>
      <c r="AK99" s="26" t="n"/>
      <c r="AL99" s="26" t="n"/>
      <c r="AM99" s="18">
        <f>COUNTIF(H99:AL99,"حضور")</f>
        <v/>
      </c>
      <c r="AN99" s="19">
        <f>COUNTIF(H99:AL99,"غياب")</f>
        <v/>
      </c>
      <c r="AO99" s="20">
        <f>IFERROR(AM99/(AM99+AN99+COUNTIF(H99:AL99,"مستأذن"))*100,0)</f>
        <v/>
      </c>
    </row>
    <row r="100" ht="20" customHeight="1">
      <c r="A100" s="11" t="n">
        <v>95</v>
      </c>
      <c r="B100" s="12" t="n"/>
      <c r="C100" s="13" t="n"/>
      <c r="D100" s="14" t="n"/>
      <c r="E100" s="14" t="n"/>
      <c r="F100" s="15" t="n"/>
      <c r="G100" s="16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8">
        <f>COUNTIF(H100:AL100,"حضور")</f>
        <v/>
      </c>
      <c r="AN100" s="19">
        <f>COUNTIF(H100:AL100,"غياب")</f>
        <v/>
      </c>
      <c r="AO100" s="20">
        <f>IFERROR(AM100/(AM100+AN100+COUNTIF(H100:AL100,"مستأذن"))*100,0)</f>
        <v/>
      </c>
    </row>
    <row r="101" ht="20" customHeight="1">
      <c r="A101" s="11" t="n">
        <v>96</v>
      </c>
      <c r="B101" s="21" t="n"/>
      <c r="C101" s="22" t="n"/>
      <c r="D101" s="23" t="n"/>
      <c r="E101" s="23" t="n"/>
      <c r="F101" s="24" t="n"/>
      <c r="G101" s="25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  <c r="AA101" s="26" t="n"/>
      <c r="AB101" s="26" t="n"/>
      <c r="AC101" s="26" t="n"/>
      <c r="AD101" s="26" t="n"/>
      <c r="AE101" s="26" t="n"/>
      <c r="AF101" s="26" t="n"/>
      <c r="AG101" s="26" t="n"/>
      <c r="AH101" s="26" t="n"/>
      <c r="AI101" s="26" t="n"/>
      <c r="AJ101" s="26" t="n"/>
      <c r="AK101" s="26" t="n"/>
      <c r="AL101" s="26" t="n"/>
      <c r="AM101" s="18">
        <f>COUNTIF(H101:AL101,"حضور")</f>
        <v/>
      </c>
      <c r="AN101" s="19">
        <f>COUNTIF(H101:AL101,"غياب")</f>
        <v/>
      </c>
      <c r="AO101" s="20">
        <f>IFERROR(AM101/(AM101+AN101+COUNTIF(H101:AL101,"مستأذن"))*100,0)</f>
        <v/>
      </c>
    </row>
    <row r="102" ht="20" customHeight="1">
      <c r="A102" s="11" t="n">
        <v>97</v>
      </c>
      <c r="B102" s="12" t="n"/>
      <c r="C102" s="13" t="n"/>
      <c r="D102" s="14" t="n"/>
      <c r="E102" s="14" t="n"/>
      <c r="F102" s="15" t="n"/>
      <c r="G102" s="16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8">
        <f>COUNTIF(H102:AL102,"حضور")</f>
        <v/>
      </c>
      <c r="AN102" s="19">
        <f>COUNTIF(H102:AL102,"غياب")</f>
        <v/>
      </c>
      <c r="AO102" s="20">
        <f>IFERROR(AM102/(AM102+AN102+COUNTIF(H102:AL102,"مستأذن"))*100,0)</f>
        <v/>
      </c>
    </row>
    <row r="103" ht="20" customHeight="1">
      <c r="A103" s="11" t="n">
        <v>98</v>
      </c>
      <c r="B103" s="21" t="n"/>
      <c r="C103" s="22" t="n"/>
      <c r="D103" s="23" t="n"/>
      <c r="E103" s="23" t="n"/>
      <c r="F103" s="24" t="n"/>
      <c r="G103" s="25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  <c r="AA103" s="26" t="n"/>
      <c r="AB103" s="26" t="n"/>
      <c r="AC103" s="26" t="n"/>
      <c r="AD103" s="26" t="n"/>
      <c r="AE103" s="26" t="n"/>
      <c r="AF103" s="26" t="n"/>
      <c r="AG103" s="26" t="n"/>
      <c r="AH103" s="26" t="n"/>
      <c r="AI103" s="26" t="n"/>
      <c r="AJ103" s="26" t="n"/>
      <c r="AK103" s="26" t="n"/>
      <c r="AL103" s="26" t="n"/>
      <c r="AM103" s="18">
        <f>COUNTIF(H103:AL103,"حضور")</f>
        <v/>
      </c>
      <c r="AN103" s="19">
        <f>COUNTIF(H103:AL103,"غياب")</f>
        <v/>
      </c>
      <c r="AO103" s="20">
        <f>IFERROR(AM103/(AM103+AN103+COUNTIF(H103:AL103,"مستأذن"))*100,0)</f>
        <v/>
      </c>
    </row>
    <row r="104" ht="20" customHeight="1">
      <c r="A104" s="11" t="n">
        <v>99</v>
      </c>
      <c r="B104" s="12" t="n"/>
      <c r="C104" s="13" t="n"/>
      <c r="D104" s="14" t="n"/>
      <c r="E104" s="14" t="n"/>
      <c r="F104" s="15" t="n"/>
      <c r="G104" s="16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8">
        <f>COUNTIF(H104:AL104,"حضور")</f>
        <v/>
      </c>
      <c r="AN104" s="19">
        <f>COUNTIF(H104:AL104,"غياب")</f>
        <v/>
      </c>
      <c r="AO104" s="20">
        <f>IFERROR(AM104/(AM104+AN104+COUNTIF(H104:AL104,"مستأذن"))*100,0)</f>
        <v/>
      </c>
    </row>
    <row r="105" ht="20" customHeight="1">
      <c r="A105" s="11" t="n">
        <v>100</v>
      </c>
      <c r="B105" s="21" t="n"/>
      <c r="C105" s="22" t="n"/>
      <c r="D105" s="23" t="n"/>
      <c r="E105" s="23" t="n"/>
      <c r="F105" s="24" t="n"/>
      <c r="G105" s="25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18">
        <f>COUNTIF(H105:AL105,"حضور")</f>
        <v/>
      </c>
      <c r="AN105" s="19">
        <f>COUNTIF(H105:AL105,"غياب")</f>
        <v/>
      </c>
      <c r="AO105" s="20">
        <f>IFERROR(AM105/(AM105+AN105+COUNTIF(H105:AL105,"مستأذن"))*100,0)</f>
        <v/>
      </c>
    </row>
    <row r="106" ht="20" customHeight="1">
      <c r="A106" s="11" t="n">
        <v>101</v>
      </c>
      <c r="B106" s="12" t="n"/>
      <c r="C106" s="13" t="n"/>
      <c r="D106" s="14" t="n"/>
      <c r="E106" s="14" t="n"/>
      <c r="F106" s="15" t="n"/>
      <c r="G106" s="16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8">
        <f>COUNTIF(H106:AL106,"حضور")</f>
        <v/>
      </c>
      <c r="AN106" s="19">
        <f>COUNTIF(H106:AL106,"غياب")</f>
        <v/>
      </c>
      <c r="AO106" s="20">
        <f>IFERROR(AM106/(AM106+AN106+COUNTIF(H106:AL106,"مستأذن"))*100,0)</f>
        <v/>
      </c>
    </row>
    <row r="107" ht="20" customHeight="1">
      <c r="A107" s="11" t="n">
        <v>102</v>
      </c>
      <c r="B107" s="21" t="n"/>
      <c r="C107" s="22" t="n"/>
      <c r="D107" s="23" t="n"/>
      <c r="E107" s="23" t="n"/>
      <c r="F107" s="24" t="n"/>
      <c r="G107" s="25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  <c r="AA107" s="26" t="n"/>
      <c r="AB107" s="26" t="n"/>
      <c r="AC107" s="26" t="n"/>
      <c r="AD107" s="26" t="n"/>
      <c r="AE107" s="26" t="n"/>
      <c r="AF107" s="26" t="n"/>
      <c r="AG107" s="26" t="n"/>
      <c r="AH107" s="26" t="n"/>
      <c r="AI107" s="26" t="n"/>
      <c r="AJ107" s="26" t="n"/>
      <c r="AK107" s="26" t="n"/>
      <c r="AL107" s="26" t="n"/>
      <c r="AM107" s="18">
        <f>COUNTIF(H107:AL107,"حضور")</f>
        <v/>
      </c>
      <c r="AN107" s="19">
        <f>COUNTIF(H107:AL107,"غياب")</f>
        <v/>
      </c>
      <c r="AO107" s="20">
        <f>IFERROR(AM107/(AM107+AN107+COUNTIF(H107:AL107,"مستأذن"))*100,0)</f>
        <v/>
      </c>
    </row>
    <row r="108" ht="20" customHeight="1">
      <c r="A108" s="11" t="n">
        <v>103</v>
      </c>
      <c r="B108" s="12" t="n"/>
      <c r="C108" s="13" t="n"/>
      <c r="D108" s="14" t="n"/>
      <c r="E108" s="14" t="n"/>
      <c r="F108" s="15" t="n"/>
      <c r="G108" s="16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8">
        <f>COUNTIF(H108:AL108,"حضور")</f>
        <v/>
      </c>
      <c r="AN108" s="19">
        <f>COUNTIF(H108:AL108,"غياب")</f>
        <v/>
      </c>
      <c r="AO108" s="20">
        <f>IFERROR(AM108/(AM108+AN108+COUNTIF(H108:AL108,"مستأذن"))*100,0)</f>
        <v/>
      </c>
    </row>
    <row r="109" ht="20" customHeight="1">
      <c r="A109" s="11" t="n">
        <v>104</v>
      </c>
      <c r="B109" s="21" t="n"/>
      <c r="C109" s="22" t="n"/>
      <c r="D109" s="23" t="n"/>
      <c r="E109" s="23" t="n"/>
      <c r="F109" s="24" t="n"/>
      <c r="G109" s="25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  <c r="AA109" s="26" t="n"/>
      <c r="AB109" s="26" t="n"/>
      <c r="AC109" s="26" t="n"/>
      <c r="AD109" s="26" t="n"/>
      <c r="AE109" s="26" t="n"/>
      <c r="AF109" s="26" t="n"/>
      <c r="AG109" s="26" t="n"/>
      <c r="AH109" s="26" t="n"/>
      <c r="AI109" s="26" t="n"/>
      <c r="AJ109" s="26" t="n"/>
      <c r="AK109" s="26" t="n"/>
      <c r="AL109" s="26" t="n"/>
      <c r="AM109" s="18">
        <f>COUNTIF(H109:AL109,"حضور")</f>
        <v/>
      </c>
      <c r="AN109" s="19">
        <f>COUNTIF(H109:AL109,"غياب")</f>
        <v/>
      </c>
      <c r="AO109" s="20">
        <f>IFERROR(AM109/(AM109+AN109+COUNTIF(H109:AL109,"مستأذن"))*100,0)</f>
        <v/>
      </c>
    </row>
    <row r="110" ht="20" customHeight="1">
      <c r="A110" s="11" t="n">
        <v>105</v>
      </c>
      <c r="B110" s="12" t="n"/>
      <c r="C110" s="13" t="n"/>
      <c r="D110" s="14" t="n"/>
      <c r="E110" s="14" t="n"/>
      <c r="F110" s="15" t="n"/>
      <c r="G110" s="16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8">
        <f>COUNTIF(H110:AL110,"حضور")</f>
        <v/>
      </c>
      <c r="AN110" s="19">
        <f>COUNTIF(H110:AL110,"غياب")</f>
        <v/>
      </c>
      <c r="AO110" s="20">
        <f>IFERROR(AM110/(AM110+AN110+COUNTIF(H110:AL110,"مستأذن"))*100,0)</f>
        <v/>
      </c>
    </row>
    <row r="111" ht="20" customHeight="1">
      <c r="A111" s="11" t="n">
        <v>106</v>
      </c>
      <c r="B111" s="21" t="n"/>
      <c r="C111" s="22" t="n"/>
      <c r="D111" s="23" t="n"/>
      <c r="E111" s="23" t="n"/>
      <c r="F111" s="24" t="n"/>
      <c r="G111" s="25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  <c r="AA111" s="26" t="n"/>
      <c r="AB111" s="26" t="n"/>
      <c r="AC111" s="26" t="n"/>
      <c r="AD111" s="26" t="n"/>
      <c r="AE111" s="26" t="n"/>
      <c r="AF111" s="26" t="n"/>
      <c r="AG111" s="26" t="n"/>
      <c r="AH111" s="26" t="n"/>
      <c r="AI111" s="26" t="n"/>
      <c r="AJ111" s="26" t="n"/>
      <c r="AK111" s="26" t="n"/>
      <c r="AL111" s="26" t="n"/>
      <c r="AM111" s="18">
        <f>COUNTIF(H111:AL111,"حضور")</f>
        <v/>
      </c>
      <c r="AN111" s="19">
        <f>COUNTIF(H111:AL111,"غياب")</f>
        <v/>
      </c>
      <c r="AO111" s="20">
        <f>IFERROR(AM111/(AM111+AN111+COUNTIF(H111:AL111,"مستأذن"))*100,0)</f>
        <v/>
      </c>
    </row>
    <row r="112" ht="20" customHeight="1">
      <c r="A112" s="11" t="n">
        <v>107</v>
      </c>
      <c r="B112" s="12" t="n"/>
      <c r="C112" s="13" t="n"/>
      <c r="D112" s="14" t="n"/>
      <c r="E112" s="14" t="n"/>
      <c r="F112" s="15" t="n"/>
      <c r="G112" s="16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8">
        <f>COUNTIF(H112:AL112,"حضور")</f>
        <v/>
      </c>
      <c r="AN112" s="19">
        <f>COUNTIF(H112:AL112,"غياب")</f>
        <v/>
      </c>
      <c r="AO112" s="20">
        <f>IFERROR(AM112/(AM112+AN112+COUNTIF(H112:AL112,"مستأذن"))*100,0)</f>
        <v/>
      </c>
    </row>
    <row r="113" ht="20" customHeight="1">
      <c r="A113" s="11" t="n">
        <v>108</v>
      </c>
      <c r="B113" s="21" t="n"/>
      <c r="C113" s="22" t="n"/>
      <c r="D113" s="23" t="n"/>
      <c r="E113" s="23" t="n"/>
      <c r="F113" s="24" t="n"/>
      <c r="G113" s="25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  <c r="AA113" s="26" t="n"/>
      <c r="AB113" s="26" t="n"/>
      <c r="AC113" s="26" t="n"/>
      <c r="AD113" s="26" t="n"/>
      <c r="AE113" s="26" t="n"/>
      <c r="AF113" s="26" t="n"/>
      <c r="AG113" s="26" t="n"/>
      <c r="AH113" s="26" t="n"/>
      <c r="AI113" s="26" t="n"/>
      <c r="AJ113" s="26" t="n"/>
      <c r="AK113" s="26" t="n"/>
      <c r="AL113" s="26" t="n"/>
      <c r="AM113" s="18">
        <f>COUNTIF(H113:AL113,"حضور")</f>
        <v/>
      </c>
      <c r="AN113" s="19">
        <f>COUNTIF(H113:AL113,"غياب")</f>
        <v/>
      </c>
      <c r="AO113" s="20">
        <f>IFERROR(AM113/(AM113+AN113+COUNTIF(H113:AL113,"مستأذن"))*100,0)</f>
        <v/>
      </c>
    </row>
    <row r="114" ht="20" customHeight="1">
      <c r="A114" s="11" t="n">
        <v>109</v>
      </c>
      <c r="B114" s="12" t="n"/>
      <c r="C114" s="13" t="n"/>
      <c r="D114" s="14" t="n"/>
      <c r="E114" s="14" t="n"/>
      <c r="F114" s="15" t="n"/>
      <c r="G114" s="16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8">
        <f>COUNTIF(H114:AL114,"حضور")</f>
        <v/>
      </c>
      <c r="AN114" s="19">
        <f>COUNTIF(H114:AL114,"غياب")</f>
        <v/>
      </c>
      <c r="AO114" s="20">
        <f>IFERROR(AM114/(AM114+AN114+COUNTIF(H114:AL114,"مستأذن"))*100,0)</f>
        <v/>
      </c>
    </row>
    <row r="115" ht="20" customHeight="1">
      <c r="A115" s="11" t="n">
        <v>110</v>
      </c>
      <c r="B115" s="21" t="n"/>
      <c r="C115" s="22" t="n"/>
      <c r="D115" s="23" t="n"/>
      <c r="E115" s="23" t="n"/>
      <c r="F115" s="24" t="n"/>
      <c r="G115" s="25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  <c r="AA115" s="26" t="n"/>
      <c r="AB115" s="26" t="n"/>
      <c r="AC115" s="26" t="n"/>
      <c r="AD115" s="26" t="n"/>
      <c r="AE115" s="26" t="n"/>
      <c r="AF115" s="26" t="n"/>
      <c r="AG115" s="26" t="n"/>
      <c r="AH115" s="26" t="n"/>
      <c r="AI115" s="26" t="n"/>
      <c r="AJ115" s="26" t="n"/>
      <c r="AK115" s="26" t="n"/>
      <c r="AL115" s="26" t="n"/>
      <c r="AM115" s="18">
        <f>COUNTIF(H115:AL115,"حضور")</f>
        <v/>
      </c>
      <c r="AN115" s="19">
        <f>COUNTIF(H115:AL115,"غياب")</f>
        <v/>
      </c>
      <c r="AO115" s="20">
        <f>IFERROR(AM115/(AM115+AN115+COUNTIF(H115:AL115,"مستأذن"))*100,0)</f>
        <v/>
      </c>
    </row>
    <row r="116" ht="20" customHeight="1">
      <c r="A116" s="11" t="n">
        <v>111</v>
      </c>
      <c r="B116" s="12" t="n"/>
      <c r="C116" s="13" t="n"/>
      <c r="D116" s="14" t="n"/>
      <c r="E116" s="14" t="n"/>
      <c r="F116" s="15" t="n"/>
      <c r="G116" s="16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8">
        <f>COUNTIF(H116:AL116,"حضور")</f>
        <v/>
      </c>
      <c r="AN116" s="19">
        <f>COUNTIF(H116:AL116,"غياب")</f>
        <v/>
      </c>
      <c r="AO116" s="20">
        <f>IFERROR(AM116/(AM116+AN116+COUNTIF(H116:AL116,"مستأذن"))*100,0)</f>
        <v/>
      </c>
    </row>
    <row r="117" ht="20" customHeight="1">
      <c r="A117" s="11" t="n">
        <v>112</v>
      </c>
      <c r="B117" s="21" t="n"/>
      <c r="C117" s="22" t="n"/>
      <c r="D117" s="23" t="n"/>
      <c r="E117" s="23" t="n"/>
      <c r="F117" s="24" t="n"/>
      <c r="G117" s="25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  <c r="AA117" s="26" t="n"/>
      <c r="AB117" s="26" t="n"/>
      <c r="AC117" s="26" t="n"/>
      <c r="AD117" s="26" t="n"/>
      <c r="AE117" s="26" t="n"/>
      <c r="AF117" s="26" t="n"/>
      <c r="AG117" s="26" t="n"/>
      <c r="AH117" s="26" t="n"/>
      <c r="AI117" s="26" t="n"/>
      <c r="AJ117" s="26" t="n"/>
      <c r="AK117" s="26" t="n"/>
      <c r="AL117" s="26" t="n"/>
      <c r="AM117" s="18">
        <f>COUNTIF(H117:AL117,"حضور")</f>
        <v/>
      </c>
      <c r="AN117" s="19">
        <f>COUNTIF(H117:AL117,"غياب")</f>
        <v/>
      </c>
      <c r="AO117" s="20">
        <f>IFERROR(AM117/(AM117+AN117+COUNTIF(H117:AL117,"مستأذن"))*100,0)</f>
        <v/>
      </c>
    </row>
    <row r="118" ht="20" customHeight="1">
      <c r="A118" s="11" t="n">
        <v>113</v>
      </c>
      <c r="B118" s="12" t="n"/>
      <c r="C118" s="13" t="n"/>
      <c r="D118" s="14" t="n"/>
      <c r="E118" s="14" t="n"/>
      <c r="F118" s="15" t="n"/>
      <c r="G118" s="16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8">
        <f>COUNTIF(H118:AL118,"حضور")</f>
        <v/>
      </c>
      <c r="AN118" s="19">
        <f>COUNTIF(H118:AL118,"غياب")</f>
        <v/>
      </c>
      <c r="AO118" s="20">
        <f>IFERROR(AM118/(AM118+AN118+COUNTIF(H118:AL118,"مستأذن"))*100,0)</f>
        <v/>
      </c>
    </row>
    <row r="119" ht="20" customHeight="1">
      <c r="A119" s="11" t="n">
        <v>114</v>
      </c>
      <c r="B119" s="21" t="n"/>
      <c r="C119" s="22" t="n"/>
      <c r="D119" s="23" t="n"/>
      <c r="E119" s="23" t="n"/>
      <c r="F119" s="24" t="n"/>
      <c r="G119" s="25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  <c r="AA119" s="26" t="n"/>
      <c r="AB119" s="26" t="n"/>
      <c r="AC119" s="26" t="n"/>
      <c r="AD119" s="26" t="n"/>
      <c r="AE119" s="26" t="n"/>
      <c r="AF119" s="26" t="n"/>
      <c r="AG119" s="26" t="n"/>
      <c r="AH119" s="26" t="n"/>
      <c r="AI119" s="26" t="n"/>
      <c r="AJ119" s="26" t="n"/>
      <c r="AK119" s="26" t="n"/>
      <c r="AL119" s="26" t="n"/>
      <c r="AM119" s="18">
        <f>COUNTIF(H119:AL119,"حضور")</f>
        <v/>
      </c>
      <c r="AN119" s="19">
        <f>COUNTIF(H119:AL119,"غياب")</f>
        <v/>
      </c>
      <c r="AO119" s="20">
        <f>IFERROR(AM119/(AM119+AN119+COUNTIF(H119:AL119,"مستأذن"))*100,0)</f>
        <v/>
      </c>
    </row>
    <row r="120" ht="20" customHeight="1">
      <c r="A120" s="11" t="n">
        <v>115</v>
      </c>
      <c r="B120" s="12" t="n"/>
      <c r="C120" s="13" t="n"/>
      <c r="D120" s="14" t="n"/>
      <c r="E120" s="14" t="n"/>
      <c r="F120" s="15" t="n"/>
      <c r="G120" s="16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8">
        <f>COUNTIF(H120:AL120,"حضور")</f>
        <v/>
      </c>
      <c r="AN120" s="19">
        <f>COUNTIF(H120:AL120,"غياب")</f>
        <v/>
      </c>
      <c r="AO120" s="20">
        <f>IFERROR(AM120/(AM120+AN120+COUNTIF(H120:AL120,"مستأذن"))*100,0)</f>
        <v/>
      </c>
    </row>
    <row r="121" ht="20" customHeight="1">
      <c r="A121" s="11" t="n">
        <v>116</v>
      </c>
      <c r="B121" s="21" t="n"/>
      <c r="C121" s="22" t="n"/>
      <c r="D121" s="23" t="n"/>
      <c r="E121" s="23" t="n"/>
      <c r="F121" s="24" t="n"/>
      <c r="G121" s="25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  <c r="AA121" s="26" t="n"/>
      <c r="AB121" s="26" t="n"/>
      <c r="AC121" s="26" t="n"/>
      <c r="AD121" s="26" t="n"/>
      <c r="AE121" s="26" t="n"/>
      <c r="AF121" s="26" t="n"/>
      <c r="AG121" s="26" t="n"/>
      <c r="AH121" s="26" t="n"/>
      <c r="AI121" s="26" t="n"/>
      <c r="AJ121" s="26" t="n"/>
      <c r="AK121" s="26" t="n"/>
      <c r="AL121" s="26" t="n"/>
      <c r="AM121" s="18">
        <f>COUNTIF(H121:AL121,"حضور")</f>
        <v/>
      </c>
      <c r="AN121" s="19">
        <f>COUNTIF(H121:AL121,"غياب")</f>
        <v/>
      </c>
      <c r="AO121" s="20">
        <f>IFERROR(AM121/(AM121+AN121+COUNTIF(H121:AL121,"مستأذن"))*100,0)</f>
        <v/>
      </c>
    </row>
    <row r="122" ht="20" customHeight="1">
      <c r="A122" s="11" t="n">
        <v>117</v>
      </c>
      <c r="B122" s="12" t="n"/>
      <c r="C122" s="13" t="n"/>
      <c r="D122" s="14" t="n"/>
      <c r="E122" s="14" t="n"/>
      <c r="F122" s="15" t="n"/>
      <c r="G122" s="16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8">
        <f>COUNTIF(H122:AL122,"حضور")</f>
        <v/>
      </c>
      <c r="AN122" s="19">
        <f>COUNTIF(H122:AL122,"غياب")</f>
        <v/>
      </c>
      <c r="AO122" s="20">
        <f>IFERROR(AM122/(AM122+AN122+COUNTIF(H122:AL122,"مستأذن"))*100,0)</f>
        <v/>
      </c>
    </row>
    <row r="123" ht="20" customHeight="1">
      <c r="A123" s="11" t="n">
        <v>118</v>
      </c>
      <c r="B123" s="21" t="n"/>
      <c r="C123" s="22" t="n"/>
      <c r="D123" s="23" t="n"/>
      <c r="E123" s="23" t="n"/>
      <c r="F123" s="24" t="n"/>
      <c r="G123" s="25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  <c r="AA123" s="26" t="n"/>
      <c r="AB123" s="26" t="n"/>
      <c r="AC123" s="26" t="n"/>
      <c r="AD123" s="26" t="n"/>
      <c r="AE123" s="26" t="n"/>
      <c r="AF123" s="26" t="n"/>
      <c r="AG123" s="26" t="n"/>
      <c r="AH123" s="26" t="n"/>
      <c r="AI123" s="26" t="n"/>
      <c r="AJ123" s="26" t="n"/>
      <c r="AK123" s="26" t="n"/>
      <c r="AL123" s="26" t="n"/>
      <c r="AM123" s="18">
        <f>COUNTIF(H123:AL123,"حضور")</f>
        <v/>
      </c>
      <c r="AN123" s="19">
        <f>COUNTIF(H123:AL123,"غياب")</f>
        <v/>
      </c>
      <c r="AO123" s="20">
        <f>IFERROR(AM123/(AM123+AN123+COUNTIF(H123:AL123,"مستأذن"))*100,0)</f>
        <v/>
      </c>
    </row>
    <row r="124" ht="20" customHeight="1">
      <c r="A124" s="11" t="n">
        <v>119</v>
      </c>
      <c r="B124" s="12" t="n"/>
      <c r="C124" s="13" t="n"/>
      <c r="D124" s="14" t="n"/>
      <c r="E124" s="14" t="n"/>
      <c r="F124" s="15" t="n"/>
      <c r="G124" s="16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8">
        <f>COUNTIF(H124:AL124,"حضور")</f>
        <v/>
      </c>
      <c r="AN124" s="19">
        <f>COUNTIF(H124:AL124,"غياب")</f>
        <v/>
      </c>
      <c r="AO124" s="20">
        <f>IFERROR(AM124/(AM124+AN124+COUNTIF(H124:AL124,"مستأذن"))*100,0)</f>
        <v/>
      </c>
    </row>
    <row r="125" ht="20" customHeight="1">
      <c r="A125" s="11" t="n">
        <v>120</v>
      </c>
      <c r="B125" s="21" t="n"/>
      <c r="C125" s="22" t="n"/>
      <c r="D125" s="23" t="n"/>
      <c r="E125" s="23" t="n"/>
      <c r="F125" s="24" t="n"/>
      <c r="G125" s="25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26" t="n"/>
      <c r="AB125" s="26" t="n"/>
      <c r="AC125" s="26" t="n"/>
      <c r="AD125" s="26" t="n"/>
      <c r="AE125" s="26" t="n"/>
      <c r="AF125" s="26" t="n"/>
      <c r="AG125" s="26" t="n"/>
      <c r="AH125" s="26" t="n"/>
      <c r="AI125" s="26" t="n"/>
      <c r="AJ125" s="26" t="n"/>
      <c r="AK125" s="26" t="n"/>
      <c r="AL125" s="26" t="n"/>
      <c r="AM125" s="18">
        <f>COUNTIF(H125:AL125,"حضور")</f>
        <v/>
      </c>
      <c r="AN125" s="19">
        <f>COUNTIF(H125:AL125,"غياب")</f>
        <v/>
      </c>
      <c r="AO125" s="20">
        <f>IFERROR(AM125/(AM125+AN125+COUNTIF(H125:AL125,"مستأذن"))*100,0)</f>
        <v/>
      </c>
    </row>
    <row r="126" ht="20" customHeight="1">
      <c r="A126" s="11" t="n">
        <v>121</v>
      </c>
      <c r="B126" s="12" t="n"/>
      <c r="C126" s="13" t="n"/>
      <c r="D126" s="14" t="n"/>
      <c r="E126" s="14" t="n"/>
      <c r="F126" s="15" t="n"/>
      <c r="G126" s="16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8">
        <f>COUNTIF(H126:AL126,"حضور")</f>
        <v/>
      </c>
      <c r="AN126" s="19">
        <f>COUNTIF(H126:AL126,"غياب")</f>
        <v/>
      </c>
      <c r="AO126" s="20">
        <f>IFERROR(AM126/(AM126+AN126+COUNTIF(H126:AL126,"مستأذن"))*100,0)</f>
        <v/>
      </c>
    </row>
    <row r="127" ht="20" customHeight="1">
      <c r="A127" s="11" t="n">
        <v>122</v>
      </c>
      <c r="B127" s="21" t="n"/>
      <c r="C127" s="22" t="n"/>
      <c r="D127" s="23" t="n"/>
      <c r="E127" s="23" t="n"/>
      <c r="F127" s="24" t="n"/>
      <c r="G127" s="25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  <c r="AA127" s="26" t="n"/>
      <c r="AB127" s="26" t="n"/>
      <c r="AC127" s="26" t="n"/>
      <c r="AD127" s="26" t="n"/>
      <c r="AE127" s="26" t="n"/>
      <c r="AF127" s="26" t="n"/>
      <c r="AG127" s="26" t="n"/>
      <c r="AH127" s="26" t="n"/>
      <c r="AI127" s="26" t="n"/>
      <c r="AJ127" s="26" t="n"/>
      <c r="AK127" s="26" t="n"/>
      <c r="AL127" s="26" t="n"/>
      <c r="AM127" s="18">
        <f>COUNTIF(H127:AL127,"حضور")</f>
        <v/>
      </c>
      <c r="AN127" s="19">
        <f>COUNTIF(H127:AL127,"غياب")</f>
        <v/>
      </c>
      <c r="AO127" s="20">
        <f>IFERROR(AM127/(AM127+AN127+COUNTIF(H127:AL127,"مستأذن"))*100,0)</f>
        <v/>
      </c>
    </row>
    <row r="128" ht="20" customHeight="1">
      <c r="A128" s="11" t="n">
        <v>123</v>
      </c>
      <c r="B128" s="12" t="n"/>
      <c r="C128" s="13" t="n"/>
      <c r="D128" s="14" t="n"/>
      <c r="E128" s="14" t="n"/>
      <c r="F128" s="15" t="n"/>
      <c r="G128" s="16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8">
        <f>COUNTIF(H128:AL128,"حضور")</f>
        <v/>
      </c>
      <c r="AN128" s="19">
        <f>COUNTIF(H128:AL128,"غياب")</f>
        <v/>
      </c>
      <c r="AO128" s="20">
        <f>IFERROR(AM128/(AM128+AN128+COUNTIF(H128:AL128,"مستأذن"))*100,0)</f>
        <v/>
      </c>
    </row>
    <row r="129" ht="20" customHeight="1">
      <c r="A129" s="11" t="n">
        <v>124</v>
      </c>
      <c r="B129" s="21" t="n"/>
      <c r="C129" s="22" t="n"/>
      <c r="D129" s="23" t="n"/>
      <c r="E129" s="23" t="n"/>
      <c r="F129" s="24" t="n"/>
      <c r="G129" s="25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  <c r="AA129" s="26" t="n"/>
      <c r="AB129" s="26" t="n"/>
      <c r="AC129" s="26" t="n"/>
      <c r="AD129" s="26" t="n"/>
      <c r="AE129" s="26" t="n"/>
      <c r="AF129" s="26" t="n"/>
      <c r="AG129" s="26" t="n"/>
      <c r="AH129" s="26" t="n"/>
      <c r="AI129" s="26" t="n"/>
      <c r="AJ129" s="26" t="n"/>
      <c r="AK129" s="26" t="n"/>
      <c r="AL129" s="26" t="n"/>
      <c r="AM129" s="18">
        <f>COUNTIF(H129:AL129,"حضور")</f>
        <v/>
      </c>
      <c r="AN129" s="19">
        <f>COUNTIF(H129:AL129,"غياب")</f>
        <v/>
      </c>
      <c r="AO129" s="20">
        <f>IFERROR(AM129/(AM129+AN129+COUNTIF(H129:AL129,"مستأذن"))*100,0)</f>
        <v/>
      </c>
    </row>
    <row r="130" ht="20" customHeight="1">
      <c r="A130" s="11" t="n">
        <v>125</v>
      </c>
      <c r="B130" s="12" t="n"/>
      <c r="C130" s="13" t="n"/>
      <c r="D130" s="14" t="n"/>
      <c r="E130" s="14" t="n"/>
      <c r="F130" s="15" t="n"/>
      <c r="G130" s="16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8">
        <f>COUNTIF(H130:AL130,"حضور")</f>
        <v/>
      </c>
      <c r="AN130" s="19">
        <f>COUNTIF(H130:AL130,"غياب")</f>
        <v/>
      </c>
      <c r="AO130" s="20">
        <f>IFERROR(AM130/(AM130+AN130+COUNTIF(H130:AL130,"مستأذن"))*100,0)</f>
        <v/>
      </c>
    </row>
    <row r="131" ht="20" customHeight="1">
      <c r="A131" s="11" t="n">
        <v>126</v>
      </c>
      <c r="B131" s="21" t="n"/>
      <c r="C131" s="22" t="n"/>
      <c r="D131" s="23" t="n"/>
      <c r="E131" s="23" t="n"/>
      <c r="F131" s="24" t="n"/>
      <c r="G131" s="25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  <c r="AA131" s="26" t="n"/>
      <c r="AB131" s="26" t="n"/>
      <c r="AC131" s="26" t="n"/>
      <c r="AD131" s="26" t="n"/>
      <c r="AE131" s="26" t="n"/>
      <c r="AF131" s="26" t="n"/>
      <c r="AG131" s="26" t="n"/>
      <c r="AH131" s="26" t="n"/>
      <c r="AI131" s="26" t="n"/>
      <c r="AJ131" s="26" t="n"/>
      <c r="AK131" s="26" t="n"/>
      <c r="AL131" s="26" t="n"/>
      <c r="AM131" s="18">
        <f>COUNTIF(H131:AL131,"حضور")</f>
        <v/>
      </c>
      <c r="AN131" s="19">
        <f>COUNTIF(H131:AL131,"غياب")</f>
        <v/>
      </c>
      <c r="AO131" s="20">
        <f>IFERROR(AM131/(AM131+AN131+COUNTIF(H131:AL131,"مستأذن"))*100,0)</f>
        <v/>
      </c>
    </row>
    <row r="132" ht="20" customHeight="1">
      <c r="A132" s="11" t="n">
        <v>127</v>
      </c>
      <c r="B132" s="12" t="n"/>
      <c r="C132" s="13" t="n"/>
      <c r="D132" s="14" t="n"/>
      <c r="E132" s="14" t="n"/>
      <c r="F132" s="15" t="n"/>
      <c r="G132" s="16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8">
        <f>COUNTIF(H132:AL132,"حضور")</f>
        <v/>
      </c>
      <c r="AN132" s="19">
        <f>COUNTIF(H132:AL132,"غياب")</f>
        <v/>
      </c>
      <c r="AO132" s="20">
        <f>IFERROR(AM132/(AM132+AN132+COUNTIF(H132:AL132,"مستأذن"))*100,0)</f>
        <v/>
      </c>
    </row>
    <row r="133" ht="20" customHeight="1">
      <c r="A133" s="11" t="n">
        <v>128</v>
      </c>
      <c r="B133" s="21" t="n"/>
      <c r="C133" s="22" t="n"/>
      <c r="D133" s="23" t="n"/>
      <c r="E133" s="23" t="n"/>
      <c r="F133" s="24" t="n"/>
      <c r="G133" s="25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  <c r="AA133" s="26" t="n"/>
      <c r="AB133" s="26" t="n"/>
      <c r="AC133" s="26" t="n"/>
      <c r="AD133" s="26" t="n"/>
      <c r="AE133" s="26" t="n"/>
      <c r="AF133" s="26" t="n"/>
      <c r="AG133" s="26" t="n"/>
      <c r="AH133" s="26" t="n"/>
      <c r="AI133" s="26" t="n"/>
      <c r="AJ133" s="26" t="n"/>
      <c r="AK133" s="26" t="n"/>
      <c r="AL133" s="26" t="n"/>
      <c r="AM133" s="18">
        <f>COUNTIF(H133:AL133,"حضور")</f>
        <v/>
      </c>
      <c r="AN133" s="19">
        <f>COUNTIF(H133:AL133,"غياب")</f>
        <v/>
      </c>
      <c r="AO133" s="20">
        <f>IFERROR(AM133/(AM133+AN133+COUNTIF(H133:AL133,"مستأذن"))*100,0)</f>
        <v/>
      </c>
    </row>
    <row r="134" ht="20" customHeight="1">
      <c r="A134" s="11" t="n">
        <v>129</v>
      </c>
      <c r="B134" s="12" t="n"/>
      <c r="C134" s="13" t="n"/>
      <c r="D134" s="14" t="n"/>
      <c r="E134" s="14" t="n"/>
      <c r="F134" s="15" t="n"/>
      <c r="G134" s="16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8">
        <f>COUNTIF(H134:AL134,"حضور")</f>
        <v/>
      </c>
      <c r="AN134" s="19">
        <f>COUNTIF(H134:AL134,"غياب")</f>
        <v/>
      </c>
      <c r="AO134" s="20">
        <f>IFERROR(AM134/(AM134+AN134+COUNTIF(H134:AL134,"مستأذن"))*100,0)</f>
        <v/>
      </c>
    </row>
    <row r="135" ht="20" customHeight="1">
      <c r="A135" s="11" t="n">
        <v>130</v>
      </c>
      <c r="B135" s="21" t="n"/>
      <c r="C135" s="22" t="n"/>
      <c r="D135" s="23" t="n"/>
      <c r="E135" s="23" t="n"/>
      <c r="F135" s="24" t="n"/>
      <c r="G135" s="25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  <c r="AA135" s="26" t="n"/>
      <c r="AB135" s="26" t="n"/>
      <c r="AC135" s="26" t="n"/>
      <c r="AD135" s="26" t="n"/>
      <c r="AE135" s="26" t="n"/>
      <c r="AF135" s="26" t="n"/>
      <c r="AG135" s="26" t="n"/>
      <c r="AH135" s="26" t="n"/>
      <c r="AI135" s="26" t="n"/>
      <c r="AJ135" s="26" t="n"/>
      <c r="AK135" s="26" t="n"/>
      <c r="AL135" s="26" t="n"/>
      <c r="AM135" s="18">
        <f>COUNTIF(H135:AL135,"حضور")</f>
        <v/>
      </c>
      <c r="AN135" s="19">
        <f>COUNTIF(H135:AL135,"غياب")</f>
        <v/>
      </c>
      <c r="AO135" s="20">
        <f>IFERROR(AM135/(AM135+AN135+COUNTIF(H135:AL135,"مستأذن"))*100,0)</f>
        <v/>
      </c>
    </row>
    <row r="136" ht="20" customHeight="1">
      <c r="A136" s="11" t="n">
        <v>131</v>
      </c>
      <c r="B136" s="12" t="n"/>
      <c r="C136" s="13" t="n"/>
      <c r="D136" s="14" t="n"/>
      <c r="E136" s="14" t="n"/>
      <c r="F136" s="15" t="n"/>
      <c r="G136" s="16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8">
        <f>COUNTIF(H136:AL136,"حضور")</f>
        <v/>
      </c>
      <c r="AN136" s="19">
        <f>COUNTIF(H136:AL136,"غياب")</f>
        <v/>
      </c>
      <c r="AO136" s="20">
        <f>IFERROR(AM136/(AM136+AN136+COUNTIF(H136:AL136,"مستأذن"))*100,0)</f>
        <v/>
      </c>
    </row>
    <row r="137" ht="20" customHeight="1">
      <c r="A137" s="11" t="n">
        <v>132</v>
      </c>
      <c r="B137" s="21" t="n"/>
      <c r="C137" s="22" t="n"/>
      <c r="D137" s="23" t="n"/>
      <c r="E137" s="23" t="n"/>
      <c r="F137" s="24" t="n"/>
      <c r="G137" s="25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  <c r="AA137" s="26" t="n"/>
      <c r="AB137" s="26" t="n"/>
      <c r="AC137" s="26" t="n"/>
      <c r="AD137" s="26" t="n"/>
      <c r="AE137" s="26" t="n"/>
      <c r="AF137" s="26" t="n"/>
      <c r="AG137" s="26" t="n"/>
      <c r="AH137" s="26" t="n"/>
      <c r="AI137" s="26" t="n"/>
      <c r="AJ137" s="26" t="n"/>
      <c r="AK137" s="26" t="n"/>
      <c r="AL137" s="26" t="n"/>
      <c r="AM137" s="18">
        <f>COUNTIF(H137:AL137,"حضور")</f>
        <v/>
      </c>
      <c r="AN137" s="19">
        <f>COUNTIF(H137:AL137,"غياب")</f>
        <v/>
      </c>
      <c r="AO137" s="20">
        <f>IFERROR(AM137/(AM137+AN137+COUNTIF(H137:AL137,"مستأذن"))*100,0)</f>
        <v/>
      </c>
    </row>
    <row r="138" ht="20" customHeight="1">
      <c r="A138" s="11" t="n">
        <v>133</v>
      </c>
      <c r="B138" s="12" t="n"/>
      <c r="C138" s="13" t="n"/>
      <c r="D138" s="14" t="n"/>
      <c r="E138" s="14" t="n"/>
      <c r="F138" s="15" t="n"/>
      <c r="G138" s="16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8">
        <f>COUNTIF(H138:AL138,"حضور")</f>
        <v/>
      </c>
      <c r="AN138" s="19">
        <f>COUNTIF(H138:AL138,"غياب")</f>
        <v/>
      </c>
      <c r="AO138" s="20">
        <f>IFERROR(AM138/(AM138+AN138+COUNTIF(H138:AL138,"مستأذن"))*100,0)</f>
        <v/>
      </c>
    </row>
    <row r="139" ht="20" customHeight="1">
      <c r="A139" s="11" t="n">
        <v>134</v>
      </c>
      <c r="B139" s="21" t="n"/>
      <c r="C139" s="22" t="n"/>
      <c r="D139" s="23" t="n"/>
      <c r="E139" s="23" t="n"/>
      <c r="F139" s="24" t="n"/>
      <c r="G139" s="25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  <c r="AA139" s="26" t="n"/>
      <c r="AB139" s="26" t="n"/>
      <c r="AC139" s="26" t="n"/>
      <c r="AD139" s="26" t="n"/>
      <c r="AE139" s="26" t="n"/>
      <c r="AF139" s="26" t="n"/>
      <c r="AG139" s="26" t="n"/>
      <c r="AH139" s="26" t="n"/>
      <c r="AI139" s="26" t="n"/>
      <c r="AJ139" s="26" t="n"/>
      <c r="AK139" s="26" t="n"/>
      <c r="AL139" s="26" t="n"/>
      <c r="AM139" s="18">
        <f>COUNTIF(H139:AL139,"حضور")</f>
        <v/>
      </c>
      <c r="AN139" s="19">
        <f>COUNTIF(H139:AL139,"غياب")</f>
        <v/>
      </c>
      <c r="AO139" s="20">
        <f>IFERROR(AM139/(AM139+AN139+COUNTIF(H139:AL139,"مستأذن"))*100,0)</f>
        <v/>
      </c>
    </row>
    <row r="140" ht="20" customHeight="1">
      <c r="A140" s="11" t="n">
        <v>135</v>
      </c>
      <c r="B140" s="12" t="n"/>
      <c r="C140" s="13" t="n"/>
      <c r="D140" s="14" t="n"/>
      <c r="E140" s="14" t="n"/>
      <c r="F140" s="15" t="n"/>
      <c r="G140" s="16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8">
        <f>COUNTIF(H140:AL140,"حضور")</f>
        <v/>
      </c>
      <c r="AN140" s="19">
        <f>COUNTIF(H140:AL140,"غياب")</f>
        <v/>
      </c>
      <c r="AO140" s="20">
        <f>IFERROR(AM140/(AM140+AN140+COUNTIF(H140:AL140,"مستأذن"))*100,0)</f>
        <v/>
      </c>
    </row>
    <row r="141" ht="20" customHeight="1">
      <c r="A141" s="11" t="n">
        <v>136</v>
      </c>
      <c r="B141" s="21" t="n"/>
      <c r="C141" s="22" t="n"/>
      <c r="D141" s="23" t="n"/>
      <c r="E141" s="23" t="n"/>
      <c r="F141" s="24" t="n"/>
      <c r="G141" s="25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  <c r="AA141" s="26" t="n"/>
      <c r="AB141" s="26" t="n"/>
      <c r="AC141" s="26" t="n"/>
      <c r="AD141" s="26" t="n"/>
      <c r="AE141" s="26" t="n"/>
      <c r="AF141" s="26" t="n"/>
      <c r="AG141" s="26" t="n"/>
      <c r="AH141" s="26" t="n"/>
      <c r="AI141" s="26" t="n"/>
      <c r="AJ141" s="26" t="n"/>
      <c r="AK141" s="26" t="n"/>
      <c r="AL141" s="26" t="n"/>
      <c r="AM141" s="18">
        <f>COUNTIF(H141:AL141,"حضور")</f>
        <v/>
      </c>
      <c r="AN141" s="19">
        <f>COUNTIF(H141:AL141,"غياب")</f>
        <v/>
      </c>
      <c r="AO141" s="20">
        <f>IFERROR(AM141/(AM141+AN141+COUNTIF(H141:AL141,"مستأذن"))*100,0)</f>
        <v/>
      </c>
    </row>
    <row r="142" ht="20" customHeight="1">
      <c r="A142" s="11" t="n">
        <v>137</v>
      </c>
      <c r="B142" s="12" t="n"/>
      <c r="C142" s="13" t="n"/>
      <c r="D142" s="14" t="n"/>
      <c r="E142" s="14" t="n"/>
      <c r="F142" s="15" t="n"/>
      <c r="G142" s="16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8">
        <f>COUNTIF(H142:AL142,"حضور")</f>
        <v/>
      </c>
      <c r="AN142" s="19">
        <f>COUNTIF(H142:AL142,"غياب")</f>
        <v/>
      </c>
      <c r="AO142" s="20">
        <f>IFERROR(AM142/(AM142+AN142+COUNTIF(H142:AL142,"مستأذن"))*100,0)</f>
        <v/>
      </c>
    </row>
    <row r="143" ht="20" customHeight="1">
      <c r="A143" s="11" t="n">
        <v>138</v>
      </c>
      <c r="B143" s="21" t="n"/>
      <c r="C143" s="22" t="n"/>
      <c r="D143" s="23" t="n"/>
      <c r="E143" s="23" t="n"/>
      <c r="F143" s="24" t="n"/>
      <c r="G143" s="25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  <c r="AF143" s="26" t="n"/>
      <c r="AG143" s="26" t="n"/>
      <c r="AH143" s="26" t="n"/>
      <c r="AI143" s="26" t="n"/>
      <c r="AJ143" s="26" t="n"/>
      <c r="AK143" s="26" t="n"/>
      <c r="AL143" s="26" t="n"/>
      <c r="AM143" s="18">
        <f>COUNTIF(H143:AL143,"حضور")</f>
        <v/>
      </c>
      <c r="AN143" s="19">
        <f>COUNTIF(H143:AL143,"غياب")</f>
        <v/>
      </c>
      <c r="AO143" s="20">
        <f>IFERROR(AM143/(AM143+AN143+COUNTIF(H143:AL143,"مستأذن"))*100,0)</f>
        <v/>
      </c>
    </row>
    <row r="144" ht="20" customHeight="1">
      <c r="A144" s="11" t="n">
        <v>139</v>
      </c>
      <c r="B144" s="12" t="n"/>
      <c r="C144" s="13" t="n"/>
      <c r="D144" s="14" t="n"/>
      <c r="E144" s="14" t="n"/>
      <c r="F144" s="15" t="n"/>
      <c r="G144" s="16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8">
        <f>COUNTIF(H144:AL144,"حضور")</f>
        <v/>
      </c>
      <c r="AN144" s="19">
        <f>COUNTIF(H144:AL144,"غياب")</f>
        <v/>
      </c>
      <c r="AO144" s="20">
        <f>IFERROR(AM144/(AM144+AN144+COUNTIF(H144:AL144,"مستأذن"))*100,0)</f>
        <v/>
      </c>
    </row>
    <row r="145" ht="20" customHeight="1">
      <c r="A145" s="11" t="n">
        <v>140</v>
      </c>
      <c r="B145" s="21" t="n"/>
      <c r="C145" s="22" t="n"/>
      <c r="D145" s="23" t="n"/>
      <c r="E145" s="23" t="n"/>
      <c r="F145" s="24" t="n"/>
      <c r="G145" s="25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  <c r="AA145" s="26" t="n"/>
      <c r="AB145" s="26" t="n"/>
      <c r="AC145" s="26" t="n"/>
      <c r="AD145" s="26" t="n"/>
      <c r="AE145" s="26" t="n"/>
      <c r="AF145" s="26" t="n"/>
      <c r="AG145" s="26" t="n"/>
      <c r="AH145" s="26" t="n"/>
      <c r="AI145" s="26" t="n"/>
      <c r="AJ145" s="26" t="n"/>
      <c r="AK145" s="26" t="n"/>
      <c r="AL145" s="26" t="n"/>
      <c r="AM145" s="18">
        <f>COUNTIF(H145:AL145,"حضور")</f>
        <v/>
      </c>
      <c r="AN145" s="19">
        <f>COUNTIF(H145:AL145,"غياب")</f>
        <v/>
      </c>
      <c r="AO145" s="20">
        <f>IFERROR(AM145/(AM145+AN145+COUNTIF(H145:AL145,"مستأذن"))*100,0)</f>
        <v/>
      </c>
    </row>
    <row r="146" ht="20" customHeight="1">
      <c r="A146" s="11" t="n">
        <v>141</v>
      </c>
      <c r="B146" s="12" t="n"/>
      <c r="C146" s="13" t="n"/>
      <c r="D146" s="14" t="n"/>
      <c r="E146" s="14" t="n"/>
      <c r="F146" s="15" t="n"/>
      <c r="G146" s="16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8">
        <f>COUNTIF(H146:AL146,"حضور")</f>
        <v/>
      </c>
      <c r="AN146" s="19">
        <f>COUNTIF(H146:AL146,"غياب")</f>
        <v/>
      </c>
      <c r="AO146" s="20">
        <f>IFERROR(AM146/(AM146+AN146+COUNTIF(H146:AL146,"مستأذن"))*100,0)</f>
        <v/>
      </c>
    </row>
    <row r="147" ht="20" customHeight="1">
      <c r="A147" s="11" t="n">
        <v>142</v>
      </c>
      <c r="B147" s="21" t="n"/>
      <c r="C147" s="22" t="n"/>
      <c r="D147" s="23" t="n"/>
      <c r="E147" s="23" t="n"/>
      <c r="F147" s="24" t="n"/>
      <c r="G147" s="25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  <c r="AA147" s="26" t="n"/>
      <c r="AB147" s="26" t="n"/>
      <c r="AC147" s="26" t="n"/>
      <c r="AD147" s="26" t="n"/>
      <c r="AE147" s="26" t="n"/>
      <c r="AF147" s="26" t="n"/>
      <c r="AG147" s="26" t="n"/>
      <c r="AH147" s="26" t="n"/>
      <c r="AI147" s="26" t="n"/>
      <c r="AJ147" s="26" t="n"/>
      <c r="AK147" s="26" t="n"/>
      <c r="AL147" s="26" t="n"/>
      <c r="AM147" s="18">
        <f>COUNTIF(H147:AL147,"حضور")</f>
        <v/>
      </c>
      <c r="AN147" s="19">
        <f>COUNTIF(H147:AL147,"غياب")</f>
        <v/>
      </c>
      <c r="AO147" s="20">
        <f>IFERROR(AM147/(AM147+AN147+COUNTIF(H147:AL147,"مستأذن"))*100,0)</f>
        <v/>
      </c>
    </row>
    <row r="148" ht="20" customHeight="1">
      <c r="A148" s="11" t="n">
        <v>143</v>
      </c>
      <c r="B148" s="12" t="n"/>
      <c r="C148" s="13" t="n"/>
      <c r="D148" s="14" t="n"/>
      <c r="E148" s="14" t="n"/>
      <c r="F148" s="15" t="n"/>
      <c r="G148" s="16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8">
        <f>COUNTIF(H148:AL148,"حضور")</f>
        <v/>
      </c>
      <c r="AN148" s="19">
        <f>COUNTIF(H148:AL148,"غياب")</f>
        <v/>
      </c>
      <c r="AO148" s="20">
        <f>IFERROR(AM148/(AM148+AN148+COUNTIF(H148:AL148,"مستأذن"))*100,0)</f>
        <v/>
      </c>
    </row>
    <row r="149" ht="20" customHeight="1">
      <c r="A149" s="11" t="n">
        <v>144</v>
      </c>
      <c r="B149" s="21" t="n"/>
      <c r="C149" s="22" t="n"/>
      <c r="D149" s="23" t="n"/>
      <c r="E149" s="23" t="n"/>
      <c r="F149" s="24" t="n"/>
      <c r="G149" s="25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  <c r="AA149" s="26" t="n"/>
      <c r="AB149" s="26" t="n"/>
      <c r="AC149" s="26" t="n"/>
      <c r="AD149" s="26" t="n"/>
      <c r="AE149" s="26" t="n"/>
      <c r="AF149" s="26" t="n"/>
      <c r="AG149" s="26" t="n"/>
      <c r="AH149" s="26" t="n"/>
      <c r="AI149" s="26" t="n"/>
      <c r="AJ149" s="26" t="n"/>
      <c r="AK149" s="26" t="n"/>
      <c r="AL149" s="26" t="n"/>
      <c r="AM149" s="18">
        <f>COUNTIF(H149:AL149,"حضور")</f>
        <v/>
      </c>
      <c r="AN149" s="19">
        <f>COUNTIF(H149:AL149,"غياب")</f>
        <v/>
      </c>
      <c r="AO149" s="20">
        <f>IFERROR(AM149/(AM149+AN149+COUNTIF(H149:AL149,"مستأذن"))*100,0)</f>
        <v/>
      </c>
    </row>
    <row r="150" ht="20" customHeight="1">
      <c r="A150" s="11" t="n">
        <v>145</v>
      </c>
      <c r="B150" s="12" t="n"/>
      <c r="C150" s="13" t="n"/>
      <c r="D150" s="14" t="n"/>
      <c r="E150" s="14" t="n"/>
      <c r="F150" s="15" t="n"/>
      <c r="G150" s="16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8">
        <f>COUNTIF(H150:AL150,"حضور")</f>
        <v/>
      </c>
      <c r="AN150" s="19">
        <f>COUNTIF(H150:AL150,"غياب")</f>
        <v/>
      </c>
      <c r="AO150" s="20">
        <f>IFERROR(AM150/(AM150+AN150+COUNTIF(H150:AL150,"مستأذن"))*100,0)</f>
        <v/>
      </c>
    </row>
    <row r="151" ht="20" customHeight="1">
      <c r="A151" s="11" t="n">
        <v>146</v>
      </c>
      <c r="B151" s="21" t="n"/>
      <c r="C151" s="22" t="n"/>
      <c r="D151" s="23" t="n"/>
      <c r="E151" s="23" t="n"/>
      <c r="F151" s="24" t="n"/>
      <c r="G151" s="25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  <c r="AA151" s="26" t="n"/>
      <c r="AB151" s="26" t="n"/>
      <c r="AC151" s="26" t="n"/>
      <c r="AD151" s="26" t="n"/>
      <c r="AE151" s="26" t="n"/>
      <c r="AF151" s="26" t="n"/>
      <c r="AG151" s="26" t="n"/>
      <c r="AH151" s="26" t="n"/>
      <c r="AI151" s="26" t="n"/>
      <c r="AJ151" s="26" t="n"/>
      <c r="AK151" s="26" t="n"/>
      <c r="AL151" s="26" t="n"/>
      <c r="AM151" s="18">
        <f>COUNTIF(H151:AL151,"حضور")</f>
        <v/>
      </c>
      <c r="AN151" s="19">
        <f>COUNTIF(H151:AL151,"غياب")</f>
        <v/>
      </c>
      <c r="AO151" s="20">
        <f>IFERROR(AM151/(AM151+AN151+COUNTIF(H151:AL151,"مستأذن"))*100,0)</f>
        <v/>
      </c>
    </row>
    <row r="152" ht="20" customHeight="1">
      <c r="A152" s="11" t="n">
        <v>147</v>
      </c>
      <c r="B152" s="12" t="n"/>
      <c r="C152" s="13" t="n"/>
      <c r="D152" s="14" t="n"/>
      <c r="E152" s="14" t="n"/>
      <c r="F152" s="15" t="n"/>
      <c r="G152" s="16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8">
        <f>COUNTIF(H152:AL152,"حضور")</f>
        <v/>
      </c>
      <c r="AN152" s="19">
        <f>COUNTIF(H152:AL152,"غياب")</f>
        <v/>
      </c>
      <c r="AO152" s="20">
        <f>IFERROR(AM152/(AM152+AN152+COUNTIF(H152:AL152,"مستأذن"))*100,0)</f>
        <v/>
      </c>
    </row>
    <row r="153" ht="20" customHeight="1">
      <c r="A153" s="11" t="n">
        <v>148</v>
      </c>
      <c r="B153" s="21" t="n"/>
      <c r="C153" s="22" t="n"/>
      <c r="D153" s="23" t="n"/>
      <c r="E153" s="23" t="n"/>
      <c r="F153" s="24" t="n"/>
      <c r="G153" s="25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  <c r="AA153" s="26" t="n"/>
      <c r="AB153" s="26" t="n"/>
      <c r="AC153" s="26" t="n"/>
      <c r="AD153" s="26" t="n"/>
      <c r="AE153" s="26" t="n"/>
      <c r="AF153" s="26" t="n"/>
      <c r="AG153" s="26" t="n"/>
      <c r="AH153" s="26" t="n"/>
      <c r="AI153" s="26" t="n"/>
      <c r="AJ153" s="26" t="n"/>
      <c r="AK153" s="26" t="n"/>
      <c r="AL153" s="26" t="n"/>
      <c r="AM153" s="18">
        <f>COUNTIF(H153:AL153,"حضور")</f>
        <v/>
      </c>
      <c r="AN153" s="19">
        <f>COUNTIF(H153:AL153,"غياب")</f>
        <v/>
      </c>
      <c r="AO153" s="20">
        <f>IFERROR(AM153/(AM153+AN153+COUNTIF(H153:AL153,"مستأذن"))*100,0)</f>
        <v/>
      </c>
    </row>
    <row r="154" ht="20" customHeight="1">
      <c r="A154" s="11" t="n">
        <v>149</v>
      </c>
      <c r="B154" s="12" t="n"/>
      <c r="C154" s="13" t="n"/>
      <c r="D154" s="14" t="n"/>
      <c r="E154" s="14" t="n"/>
      <c r="F154" s="15" t="n"/>
      <c r="G154" s="16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8">
        <f>COUNTIF(H154:AL154,"حضور")</f>
        <v/>
      </c>
      <c r="AN154" s="19">
        <f>COUNTIF(H154:AL154,"غياب")</f>
        <v/>
      </c>
      <c r="AO154" s="20">
        <f>IFERROR(AM154/(AM154+AN154+COUNTIF(H154:AL154,"مستأذن"))*100,0)</f>
        <v/>
      </c>
    </row>
    <row r="155" ht="20" customHeight="1">
      <c r="A155" s="11" t="n">
        <v>150</v>
      </c>
      <c r="B155" s="21" t="n"/>
      <c r="C155" s="22" t="n"/>
      <c r="D155" s="23" t="n"/>
      <c r="E155" s="23" t="n"/>
      <c r="F155" s="24" t="n"/>
      <c r="G155" s="25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  <c r="AA155" s="26" t="n"/>
      <c r="AB155" s="26" t="n"/>
      <c r="AC155" s="26" t="n"/>
      <c r="AD155" s="26" t="n"/>
      <c r="AE155" s="26" t="n"/>
      <c r="AF155" s="26" t="n"/>
      <c r="AG155" s="26" t="n"/>
      <c r="AH155" s="26" t="n"/>
      <c r="AI155" s="26" t="n"/>
      <c r="AJ155" s="26" t="n"/>
      <c r="AK155" s="26" t="n"/>
      <c r="AL155" s="26" t="n"/>
      <c r="AM155" s="18">
        <f>COUNTIF(H155:AL155,"حضور")</f>
        <v/>
      </c>
      <c r="AN155" s="19">
        <f>COUNTIF(H155:AL155,"غياب")</f>
        <v/>
      </c>
      <c r="AO155" s="20">
        <f>IFERROR(AM155/(AM155+AN155+COUNTIF(H155:AL155,"مستأذن"))*100,0)</f>
        <v/>
      </c>
    </row>
    <row r="156" ht="20" customHeight="1">
      <c r="A156" s="11" t="n">
        <v>151</v>
      </c>
      <c r="B156" s="12" t="n"/>
      <c r="C156" s="13" t="n"/>
      <c r="D156" s="14" t="n"/>
      <c r="E156" s="14" t="n"/>
      <c r="F156" s="15" t="n"/>
      <c r="G156" s="16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8">
        <f>COUNTIF(H156:AL156,"حضور")</f>
        <v/>
      </c>
      <c r="AN156" s="19">
        <f>COUNTIF(H156:AL156,"غياب")</f>
        <v/>
      </c>
      <c r="AO156" s="20">
        <f>IFERROR(AM156/(AM156+AN156+COUNTIF(H156:AL156,"مستأذن"))*100,0)</f>
        <v/>
      </c>
    </row>
    <row r="157" ht="20" customHeight="1">
      <c r="A157" s="11" t="n">
        <v>152</v>
      </c>
      <c r="B157" s="21" t="n"/>
      <c r="C157" s="22" t="n"/>
      <c r="D157" s="23" t="n"/>
      <c r="E157" s="23" t="n"/>
      <c r="F157" s="24" t="n"/>
      <c r="G157" s="25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  <c r="AA157" s="26" t="n"/>
      <c r="AB157" s="26" t="n"/>
      <c r="AC157" s="26" t="n"/>
      <c r="AD157" s="26" t="n"/>
      <c r="AE157" s="26" t="n"/>
      <c r="AF157" s="26" t="n"/>
      <c r="AG157" s="26" t="n"/>
      <c r="AH157" s="26" t="n"/>
      <c r="AI157" s="26" t="n"/>
      <c r="AJ157" s="26" t="n"/>
      <c r="AK157" s="26" t="n"/>
      <c r="AL157" s="26" t="n"/>
      <c r="AM157" s="18">
        <f>COUNTIF(H157:AL157,"حضور")</f>
        <v/>
      </c>
      <c r="AN157" s="19">
        <f>COUNTIF(H157:AL157,"غياب")</f>
        <v/>
      </c>
      <c r="AO157" s="20">
        <f>IFERROR(AM157/(AM157+AN157+COUNTIF(H157:AL157,"مستأذن"))*100,0)</f>
        <v/>
      </c>
    </row>
    <row r="158" ht="20" customHeight="1">
      <c r="A158" s="11" t="n">
        <v>153</v>
      </c>
      <c r="B158" s="12" t="n"/>
      <c r="C158" s="13" t="n"/>
      <c r="D158" s="14" t="n"/>
      <c r="E158" s="14" t="n"/>
      <c r="F158" s="15" t="n"/>
      <c r="G158" s="16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8">
        <f>COUNTIF(H158:AL158,"حضور")</f>
        <v/>
      </c>
      <c r="AN158" s="19">
        <f>COUNTIF(H158:AL158,"غياب")</f>
        <v/>
      </c>
      <c r="AO158" s="20">
        <f>IFERROR(AM158/(AM158+AN158+COUNTIF(H158:AL158,"مستأذن"))*100,0)</f>
        <v/>
      </c>
    </row>
    <row r="159" ht="20" customHeight="1">
      <c r="A159" s="11" t="n">
        <v>154</v>
      </c>
      <c r="B159" s="21" t="n"/>
      <c r="C159" s="22" t="n"/>
      <c r="D159" s="23" t="n"/>
      <c r="E159" s="23" t="n"/>
      <c r="F159" s="24" t="n"/>
      <c r="G159" s="25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  <c r="AA159" s="26" t="n"/>
      <c r="AB159" s="26" t="n"/>
      <c r="AC159" s="26" t="n"/>
      <c r="AD159" s="26" t="n"/>
      <c r="AE159" s="26" t="n"/>
      <c r="AF159" s="26" t="n"/>
      <c r="AG159" s="26" t="n"/>
      <c r="AH159" s="26" t="n"/>
      <c r="AI159" s="26" t="n"/>
      <c r="AJ159" s="26" t="n"/>
      <c r="AK159" s="26" t="n"/>
      <c r="AL159" s="26" t="n"/>
      <c r="AM159" s="18">
        <f>COUNTIF(H159:AL159,"حضور")</f>
        <v/>
      </c>
      <c r="AN159" s="19">
        <f>COUNTIF(H159:AL159,"غياب")</f>
        <v/>
      </c>
      <c r="AO159" s="20">
        <f>IFERROR(AM159/(AM159+AN159+COUNTIF(H159:AL159,"مستأذن"))*100,0)</f>
        <v/>
      </c>
    </row>
    <row r="160" ht="20" customHeight="1">
      <c r="A160" s="11" t="n">
        <v>155</v>
      </c>
      <c r="B160" s="12" t="n"/>
      <c r="C160" s="13" t="n"/>
      <c r="D160" s="14" t="n"/>
      <c r="E160" s="14" t="n"/>
      <c r="F160" s="15" t="n"/>
      <c r="G160" s="16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8">
        <f>COUNTIF(H160:AL160,"حضور")</f>
        <v/>
      </c>
      <c r="AN160" s="19">
        <f>COUNTIF(H160:AL160,"غياب")</f>
        <v/>
      </c>
      <c r="AO160" s="20">
        <f>IFERROR(AM160/(AM160+AN160+COUNTIF(H160:AL160,"مستأذن"))*100,0)</f>
        <v/>
      </c>
    </row>
    <row r="161" ht="20" customHeight="1">
      <c r="A161" s="11" t="n">
        <v>156</v>
      </c>
      <c r="B161" s="21" t="n"/>
      <c r="C161" s="22" t="n"/>
      <c r="D161" s="23" t="n"/>
      <c r="E161" s="23" t="n"/>
      <c r="F161" s="24" t="n"/>
      <c r="G161" s="25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  <c r="AA161" s="26" t="n"/>
      <c r="AB161" s="26" t="n"/>
      <c r="AC161" s="26" t="n"/>
      <c r="AD161" s="26" t="n"/>
      <c r="AE161" s="26" t="n"/>
      <c r="AF161" s="26" t="n"/>
      <c r="AG161" s="26" t="n"/>
      <c r="AH161" s="26" t="n"/>
      <c r="AI161" s="26" t="n"/>
      <c r="AJ161" s="26" t="n"/>
      <c r="AK161" s="26" t="n"/>
      <c r="AL161" s="26" t="n"/>
      <c r="AM161" s="18">
        <f>COUNTIF(H161:AL161,"حضور")</f>
        <v/>
      </c>
      <c r="AN161" s="19">
        <f>COUNTIF(H161:AL161,"غياب")</f>
        <v/>
      </c>
      <c r="AO161" s="20">
        <f>IFERROR(AM161/(AM161+AN161+COUNTIF(H161:AL161,"مستأذن"))*100,0)</f>
        <v/>
      </c>
    </row>
    <row r="162" ht="20" customHeight="1">
      <c r="A162" s="11" t="n">
        <v>157</v>
      </c>
      <c r="B162" s="12" t="n"/>
      <c r="C162" s="13" t="n"/>
      <c r="D162" s="14" t="n"/>
      <c r="E162" s="14" t="n"/>
      <c r="F162" s="15" t="n"/>
      <c r="G162" s="16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8">
        <f>COUNTIF(H162:AL162,"حضور")</f>
        <v/>
      </c>
      <c r="AN162" s="19">
        <f>COUNTIF(H162:AL162,"غياب")</f>
        <v/>
      </c>
      <c r="AO162" s="20">
        <f>IFERROR(AM162/(AM162+AN162+COUNTIF(H162:AL162,"مستأذن"))*100,0)</f>
        <v/>
      </c>
    </row>
    <row r="163" ht="20" customHeight="1">
      <c r="A163" s="11" t="n">
        <v>158</v>
      </c>
      <c r="B163" s="21" t="n"/>
      <c r="C163" s="22" t="n"/>
      <c r="D163" s="23" t="n"/>
      <c r="E163" s="23" t="n"/>
      <c r="F163" s="24" t="n"/>
      <c r="G163" s="25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  <c r="AA163" s="26" t="n"/>
      <c r="AB163" s="26" t="n"/>
      <c r="AC163" s="26" t="n"/>
      <c r="AD163" s="26" t="n"/>
      <c r="AE163" s="26" t="n"/>
      <c r="AF163" s="26" t="n"/>
      <c r="AG163" s="26" t="n"/>
      <c r="AH163" s="26" t="n"/>
      <c r="AI163" s="26" t="n"/>
      <c r="AJ163" s="26" t="n"/>
      <c r="AK163" s="26" t="n"/>
      <c r="AL163" s="26" t="n"/>
      <c r="AM163" s="18">
        <f>COUNTIF(H163:AL163,"حضور")</f>
        <v/>
      </c>
      <c r="AN163" s="19">
        <f>COUNTIF(H163:AL163,"غياب")</f>
        <v/>
      </c>
      <c r="AO163" s="20">
        <f>IFERROR(AM163/(AM163+AN163+COUNTIF(H163:AL163,"مستأذن"))*100,0)</f>
        <v/>
      </c>
    </row>
    <row r="164" ht="20" customHeight="1">
      <c r="A164" s="11" t="n">
        <v>159</v>
      </c>
      <c r="B164" s="12" t="n"/>
      <c r="C164" s="13" t="n"/>
      <c r="D164" s="14" t="n"/>
      <c r="E164" s="14" t="n"/>
      <c r="F164" s="15" t="n"/>
      <c r="G164" s="16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8">
        <f>COUNTIF(H164:AL164,"حضور")</f>
        <v/>
      </c>
      <c r="AN164" s="19">
        <f>COUNTIF(H164:AL164,"غياب")</f>
        <v/>
      </c>
      <c r="AO164" s="20">
        <f>IFERROR(AM164/(AM164+AN164+COUNTIF(H164:AL164,"مستأذن"))*100,0)</f>
        <v/>
      </c>
    </row>
    <row r="165" ht="20" customHeight="1">
      <c r="A165" s="11" t="n">
        <v>160</v>
      </c>
      <c r="B165" s="21" t="n"/>
      <c r="C165" s="22" t="n"/>
      <c r="D165" s="23" t="n"/>
      <c r="E165" s="23" t="n"/>
      <c r="F165" s="24" t="n"/>
      <c r="G165" s="25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  <c r="AA165" s="26" t="n"/>
      <c r="AB165" s="26" t="n"/>
      <c r="AC165" s="26" t="n"/>
      <c r="AD165" s="26" t="n"/>
      <c r="AE165" s="26" t="n"/>
      <c r="AF165" s="26" t="n"/>
      <c r="AG165" s="26" t="n"/>
      <c r="AH165" s="26" t="n"/>
      <c r="AI165" s="26" t="n"/>
      <c r="AJ165" s="26" t="n"/>
      <c r="AK165" s="26" t="n"/>
      <c r="AL165" s="26" t="n"/>
      <c r="AM165" s="18">
        <f>COUNTIF(H165:AL165,"حضور")</f>
        <v/>
      </c>
      <c r="AN165" s="19">
        <f>COUNTIF(H165:AL165,"غياب")</f>
        <v/>
      </c>
      <c r="AO165" s="20">
        <f>IFERROR(AM165/(AM165+AN165+COUNTIF(H165:AL165,"مستأذن"))*100,0)</f>
        <v/>
      </c>
    </row>
    <row r="166" ht="20" customHeight="1">
      <c r="A166" s="11" t="n">
        <v>161</v>
      </c>
      <c r="B166" s="12" t="n"/>
      <c r="C166" s="13" t="n"/>
      <c r="D166" s="14" t="n"/>
      <c r="E166" s="14" t="n"/>
      <c r="F166" s="15" t="n"/>
      <c r="G166" s="16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8">
        <f>COUNTIF(H166:AL166,"حضور")</f>
        <v/>
      </c>
      <c r="AN166" s="19">
        <f>COUNTIF(H166:AL166,"غياب")</f>
        <v/>
      </c>
      <c r="AO166" s="20">
        <f>IFERROR(AM166/(AM166+AN166+COUNTIF(H166:AL166,"مستأذن"))*100,0)</f>
        <v/>
      </c>
    </row>
    <row r="167" ht="20" customHeight="1">
      <c r="A167" s="11" t="n">
        <v>162</v>
      </c>
      <c r="B167" s="21" t="n"/>
      <c r="C167" s="22" t="n"/>
      <c r="D167" s="23" t="n"/>
      <c r="E167" s="23" t="n"/>
      <c r="F167" s="24" t="n"/>
      <c r="G167" s="25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  <c r="AA167" s="26" t="n"/>
      <c r="AB167" s="26" t="n"/>
      <c r="AC167" s="26" t="n"/>
      <c r="AD167" s="26" t="n"/>
      <c r="AE167" s="26" t="n"/>
      <c r="AF167" s="26" t="n"/>
      <c r="AG167" s="26" t="n"/>
      <c r="AH167" s="26" t="n"/>
      <c r="AI167" s="26" t="n"/>
      <c r="AJ167" s="26" t="n"/>
      <c r="AK167" s="26" t="n"/>
      <c r="AL167" s="26" t="n"/>
      <c r="AM167" s="18">
        <f>COUNTIF(H167:AL167,"حضور")</f>
        <v/>
      </c>
      <c r="AN167" s="19">
        <f>COUNTIF(H167:AL167,"غياب")</f>
        <v/>
      </c>
      <c r="AO167" s="20">
        <f>IFERROR(AM167/(AM167+AN167+COUNTIF(H167:AL167,"مستأذن"))*100,0)</f>
        <v/>
      </c>
    </row>
    <row r="168" ht="20" customHeight="1">
      <c r="A168" s="11" t="n">
        <v>163</v>
      </c>
      <c r="B168" s="12" t="n"/>
      <c r="C168" s="13" t="n"/>
      <c r="D168" s="14" t="n"/>
      <c r="E168" s="14" t="n"/>
      <c r="F168" s="15" t="n"/>
      <c r="G168" s="16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8">
        <f>COUNTIF(H168:AL168,"حضور")</f>
        <v/>
      </c>
      <c r="AN168" s="19">
        <f>COUNTIF(H168:AL168,"غياب")</f>
        <v/>
      </c>
      <c r="AO168" s="20">
        <f>IFERROR(AM168/(AM168+AN168+COUNTIF(H168:AL168,"مستأذن"))*100,0)</f>
        <v/>
      </c>
    </row>
    <row r="169" ht="20" customHeight="1">
      <c r="A169" s="11" t="n">
        <v>164</v>
      </c>
      <c r="B169" s="21" t="n"/>
      <c r="C169" s="22" t="n"/>
      <c r="D169" s="23" t="n"/>
      <c r="E169" s="23" t="n"/>
      <c r="F169" s="24" t="n"/>
      <c r="G169" s="25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  <c r="AA169" s="26" t="n"/>
      <c r="AB169" s="26" t="n"/>
      <c r="AC169" s="26" t="n"/>
      <c r="AD169" s="26" t="n"/>
      <c r="AE169" s="26" t="n"/>
      <c r="AF169" s="26" t="n"/>
      <c r="AG169" s="26" t="n"/>
      <c r="AH169" s="26" t="n"/>
      <c r="AI169" s="26" t="n"/>
      <c r="AJ169" s="26" t="n"/>
      <c r="AK169" s="26" t="n"/>
      <c r="AL169" s="26" t="n"/>
      <c r="AM169" s="18">
        <f>COUNTIF(H169:AL169,"حضور")</f>
        <v/>
      </c>
      <c r="AN169" s="19">
        <f>COUNTIF(H169:AL169,"غياب")</f>
        <v/>
      </c>
      <c r="AO169" s="20">
        <f>IFERROR(AM169/(AM169+AN169+COUNTIF(H169:AL169,"مستأذن"))*100,0)</f>
        <v/>
      </c>
    </row>
    <row r="170" ht="20" customHeight="1">
      <c r="A170" s="11" t="n">
        <v>165</v>
      </c>
      <c r="B170" s="12" t="n"/>
      <c r="C170" s="13" t="n"/>
      <c r="D170" s="14" t="n"/>
      <c r="E170" s="14" t="n"/>
      <c r="F170" s="15" t="n"/>
      <c r="G170" s="16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8">
        <f>COUNTIF(H170:AL170,"حضور")</f>
        <v/>
      </c>
      <c r="AN170" s="19">
        <f>COUNTIF(H170:AL170,"غياب")</f>
        <v/>
      </c>
      <c r="AO170" s="20">
        <f>IFERROR(AM170/(AM170+AN170+COUNTIF(H170:AL170,"مستأذن"))*100,0)</f>
        <v/>
      </c>
    </row>
    <row r="171" ht="20" customHeight="1">
      <c r="A171" s="11" t="n">
        <v>166</v>
      </c>
      <c r="B171" s="21" t="n"/>
      <c r="C171" s="22" t="n"/>
      <c r="D171" s="23" t="n"/>
      <c r="E171" s="23" t="n"/>
      <c r="F171" s="24" t="n"/>
      <c r="G171" s="25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  <c r="AA171" s="26" t="n"/>
      <c r="AB171" s="26" t="n"/>
      <c r="AC171" s="26" t="n"/>
      <c r="AD171" s="26" t="n"/>
      <c r="AE171" s="26" t="n"/>
      <c r="AF171" s="26" t="n"/>
      <c r="AG171" s="26" t="n"/>
      <c r="AH171" s="26" t="n"/>
      <c r="AI171" s="26" t="n"/>
      <c r="AJ171" s="26" t="n"/>
      <c r="AK171" s="26" t="n"/>
      <c r="AL171" s="26" t="n"/>
      <c r="AM171" s="18">
        <f>COUNTIF(H171:AL171,"حضور")</f>
        <v/>
      </c>
      <c r="AN171" s="19">
        <f>COUNTIF(H171:AL171,"غياب")</f>
        <v/>
      </c>
      <c r="AO171" s="20">
        <f>IFERROR(AM171/(AM171+AN171+COUNTIF(H171:AL171,"مستأذن"))*100,0)</f>
        <v/>
      </c>
    </row>
    <row r="172" ht="20" customHeight="1">
      <c r="A172" s="11" t="n">
        <v>167</v>
      </c>
      <c r="B172" s="12" t="n"/>
      <c r="C172" s="13" t="n"/>
      <c r="D172" s="14" t="n"/>
      <c r="E172" s="14" t="n"/>
      <c r="F172" s="15" t="n"/>
      <c r="G172" s="16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8">
        <f>COUNTIF(H172:AL172,"حضور")</f>
        <v/>
      </c>
      <c r="AN172" s="19">
        <f>COUNTIF(H172:AL172,"غياب")</f>
        <v/>
      </c>
      <c r="AO172" s="20">
        <f>IFERROR(AM172/(AM172+AN172+COUNTIF(H172:AL172,"مستأذن"))*100,0)</f>
        <v/>
      </c>
    </row>
    <row r="173" ht="20" customHeight="1">
      <c r="A173" s="11" t="n">
        <v>168</v>
      </c>
      <c r="B173" s="21" t="n"/>
      <c r="C173" s="22" t="n"/>
      <c r="D173" s="23" t="n"/>
      <c r="E173" s="23" t="n"/>
      <c r="F173" s="24" t="n"/>
      <c r="G173" s="25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  <c r="AA173" s="26" t="n"/>
      <c r="AB173" s="26" t="n"/>
      <c r="AC173" s="26" t="n"/>
      <c r="AD173" s="26" t="n"/>
      <c r="AE173" s="26" t="n"/>
      <c r="AF173" s="26" t="n"/>
      <c r="AG173" s="26" t="n"/>
      <c r="AH173" s="26" t="n"/>
      <c r="AI173" s="26" t="n"/>
      <c r="AJ173" s="26" t="n"/>
      <c r="AK173" s="26" t="n"/>
      <c r="AL173" s="26" t="n"/>
      <c r="AM173" s="18">
        <f>COUNTIF(H173:AL173,"حضور")</f>
        <v/>
      </c>
      <c r="AN173" s="19">
        <f>COUNTIF(H173:AL173,"غياب")</f>
        <v/>
      </c>
      <c r="AO173" s="20">
        <f>IFERROR(AM173/(AM173+AN173+COUNTIF(H173:AL173,"مستأذن"))*100,0)</f>
        <v/>
      </c>
    </row>
    <row r="174" ht="20" customHeight="1">
      <c r="A174" s="11" t="n">
        <v>169</v>
      </c>
      <c r="B174" s="12" t="n"/>
      <c r="C174" s="13" t="n"/>
      <c r="D174" s="14" t="n"/>
      <c r="E174" s="14" t="n"/>
      <c r="F174" s="15" t="n"/>
      <c r="G174" s="16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8">
        <f>COUNTIF(H174:AL174,"حضور")</f>
        <v/>
      </c>
      <c r="AN174" s="19">
        <f>COUNTIF(H174:AL174,"غياب")</f>
        <v/>
      </c>
      <c r="AO174" s="20">
        <f>IFERROR(AM174/(AM174+AN174+COUNTIF(H174:AL174,"مستأذن"))*100,0)</f>
        <v/>
      </c>
    </row>
    <row r="175" ht="20" customHeight="1">
      <c r="A175" s="11" t="n">
        <v>170</v>
      </c>
      <c r="B175" s="21" t="n"/>
      <c r="C175" s="22" t="n"/>
      <c r="D175" s="23" t="n"/>
      <c r="E175" s="23" t="n"/>
      <c r="F175" s="24" t="n"/>
      <c r="G175" s="25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  <c r="AA175" s="26" t="n"/>
      <c r="AB175" s="26" t="n"/>
      <c r="AC175" s="26" t="n"/>
      <c r="AD175" s="26" t="n"/>
      <c r="AE175" s="26" t="n"/>
      <c r="AF175" s="26" t="n"/>
      <c r="AG175" s="26" t="n"/>
      <c r="AH175" s="26" t="n"/>
      <c r="AI175" s="26" t="n"/>
      <c r="AJ175" s="26" t="n"/>
      <c r="AK175" s="26" t="n"/>
      <c r="AL175" s="26" t="n"/>
      <c r="AM175" s="18">
        <f>COUNTIF(H175:AL175,"حضور")</f>
        <v/>
      </c>
      <c r="AN175" s="19">
        <f>COUNTIF(H175:AL175,"غياب")</f>
        <v/>
      </c>
      <c r="AO175" s="20">
        <f>IFERROR(AM175/(AM175+AN175+COUNTIF(H175:AL175,"مستأذن"))*100,0)</f>
        <v/>
      </c>
    </row>
    <row r="176" ht="20" customHeight="1">
      <c r="A176" s="11" t="n">
        <v>171</v>
      </c>
      <c r="B176" s="12" t="n"/>
      <c r="C176" s="13" t="n"/>
      <c r="D176" s="14" t="n"/>
      <c r="E176" s="14" t="n"/>
      <c r="F176" s="15" t="n"/>
      <c r="G176" s="16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8">
        <f>COUNTIF(H176:AL176,"حضور")</f>
        <v/>
      </c>
      <c r="AN176" s="19">
        <f>COUNTIF(H176:AL176,"غياب")</f>
        <v/>
      </c>
      <c r="AO176" s="20">
        <f>IFERROR(AM176/(AM176+AN176+COUNTIF(H176:AL176,"مستأذن"))*100,0)</f>
        <v/>
      </c>
    </row>
    <row r="177" ht="20" customHeight="1">
      <c r="A177" s="11" t="n">
        <v>172</v>
      </c>
      <c r="B177" s="21" t="n"/>
      <c r="C177" s="22" t="n"/>
      <c r="D177" s="23" t="n"/>
      <c r="E177" s="23" t="n"/>
      <c r="F177" s="24" t="n"/>
      <c r="G177" s="25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  <c r="AA177" s="26" t="n"/>
      <c r="AB177" s="26" t="n"/>
      <c r="AC177" s="26" t="n"/>
      <c r="AD177" s="26" t="n"/>
      <c r="AE177" s="26" t="n"/>
      <c r="AF177" s="26" t="n"/>
      <c r="AG177" s="26" t="n"/>
      <c r="AH177" s="26" t="n"/>
      <c r="AI177" s="26" t="n"/>
      <c r="AJ177" s="26" t="n"/>
      <c r="AK177" s="26" t="n"/>
      <c r="AL177" s="26" t="n"/>
      <c r="AM177" s="18">
        <f>COUNTIF(H177:AL177,"حضور")</f>
        <v/>
      </c>
      <c r="AN177" s="19">
        <f>COUNTIF(H177:AL177,"غياب")</f>
        <v/>
      </c>
      <c r="AO177" s="20">
        <f>IFERROR(AM177/(AM177+AN177+COUNTIF(H177:AL177,"مستأذن"))*100,0)</f>
        <v/>
      </c>
    </row>
    <row r="178" ht="20" customHeight="1">
      <c r="A178" s="11" t="n">
        <v>173</v>
      </c>
      <c r="B178" s="12" t="n"/>
      <c r="C178" s="13" t="n"/>
      <c r="D178" s="14" t="n"/>
      <c r="E178" s="14" t="n"/>
      <c r="F178" s="15" t="n"/>
      <c r="G178" s="16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8">
        <f>COUNTIF(H178:AL178,"حضور")</f>
        <v/>
      </c>
      <c r="AN178" s="19">
        <f>COUNTIF(H178:AL178,"غياب")</f>
        <v/>
      </c>
      <c r="AO178" s="20">
        <f>IFERROR(AM178/(AM178+AN178+COUNTIF(H178:AL178,"مستأذن"))*100,0)</f>
        <v/>
      </c>
    </row>
    <row r="179" ht="20" customHeight="1">
      <c r="A179" s="11" t="n">
        <v>174</v>
      </c>
      <c r="B179" s="21" t="n"/>
      <c r="C179" s="22" t="n"/>
      <c r="D179" s="23" t="n"/>
      <c r="E179" s="23" t="n"/>
      <c r="F179" s="24" t="n"/>
      <c r="G179" s="25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  <c r="AA179" s="26" t="n"/>
      <c r="AB179" s="26" t="n"/>
      <c r="AC179" s="26" t="n"/>
      <c r="AD179" s="26" t="n"/>
      <c r="AE179" s="26" t="n"/>
      <c r="AF179" s="26" t="n"/>
      <c r="AG179" s="26" t="n"/>
      <c r="AH179" s="26" t="n"/>
      <c r="AI179" s="26" t="n"/>
      <c r="AJ179" s="26" t="n"/>
      <c r="AK179" s="26" t="n"/>
      <c r="AL179" s="26" t="n"/>
      <c r="AM179" s="18">
        <f>COUNTIF(H179:AL179,"حضور")</f>
        <v/>
      </c>
      <c r="AN179" s="19">
        <f>COUNTIF(H179:AL179,"غياب")</f>
        <v/>
      </c>
      <c r="AO179" s="20">
        <f>IFERROR(AM179/(AM179+AN179+COUNTIF(H179:AL179,"مستأذن"))*100,0)</f>
        <v/>
      </c>
    </row>
    <row r="180" ht="20" customHeight="1">
      <c r="A180" s="11" t="n">
        <v>175</v>
      </c>
      <c r="B180" s="12" t="n"/>
      <c r="C180" s="13" t="n"/>
      <c r="D180" s="14" t="n"/>
      <c r="E180" s="14" t="n"/>
      <c r="F180" s="15" t="n"/>
      <c r="G180" s="16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8">
        <f>COUNTIF(H180:AL180,"حضور")</f>
        <v/>
      </c>
      <c r="AN180" s="19">
        <f>COUNTIF(H180:AL180,"غياب")</f>
        <v/>
      </c>
      <c r="AO180" s="20">
        <f>IFERROR(AM180/(AM180+AN180+COUNTIF(H180:AL180,"مستأذن"))*100,0)</f>
        <v/>
      </c>
    </row>
    <row r="181" ht="20" customHeight="1">
      <c r="A181" s="11" t="n">
        <v>176</v>
      </c>
      <c r="B181" s="21" t="n"/>
      <c r="C181" s="22" t="n"/>
      <c r="D181" s="23" t="n"/>
      <c r="E181" s="23" t="n"/>
      <c r="F181" s="24" t="n"/>
      <c r="G181" s="25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  <c r="AA181" s="26" t="n"/>
      <c r="AB181" s="26" t="n"/>
      <c r="AC181" s="26" t="n"/>
      <c r="AD181" s="26" t="n"/>
      <c r="AE181" s="26" t="n"/>
      <c r="AF181" s="26" t="n"/>
      <c r="AG181" s="26" t="n"/>
      <c r="AH181" s="26" t="n"/>
      <c r="AI181" s="26" t="n"/>
      <c r="AJ181" s="26" t="n"/>
      <c r="AK181" s="26" t="n"/>
      <c r="AL181" s="26" t="n"/>
      <c r="AM181" s="18">
        <f>COUNTIF(H181:AL181,"حضور")</f>
        <v/>
      </c>
      <c r="AN181" s="19">
        <f>COUNTIF(H181:AL181,"غياب")</f>
        <v/>
      </c>
      <c r="AO181" s="20">
        <f>IFERROR(AM181/(AM181+AN181+COUNTIF(H181:AL181,"مستأذن"))*100,0)</f>
        <v/>
      </c>
    </row>
    <row r="182" ht="20" customHeight="1">
      <c r="A182" s="11" t="n">
        <v>177</v>
      </c>
      <c r="B182" s="12" t="n"/>
      <c r="C182" s="13" t="n"/>
      <c r="D182" s="14" t="n"/>
      <c r="E182" s="14" t="n"/>
      <c r="F182" s="15" t="n"/>
      <c r="G182" s="16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8">
        <f>COUNTIF(H182:AL182,"حضور")</f>
        <v/>
      </c>
      <c r="AN182" s="19">
        <f>COUNTIF(H182:AL182,"غياب")</f>
        <v/>
      </c>
      <c r="AO182" s="20">
        <f>IFERROR(AM182/(AM182+AN182+COUNTIF(H182:AL182,"مستأذن"))*100,0)</f>
        <v/>
      </c>
    </row>
    <row r="183" ht="20" customHeight="1">
      <c r="A183" s="11" t="n">
        <v>178</v>
      </c>
      <c r="B183" s="21" t="n"/>
      <c r="C183" s="22" t="n"/>
      <c r="D183" s="23" t="n"/>
      <c r="E183" s="23" t="n"/>
      <c r="F183" s="24" t="n"/>
      <c r="G183" s="25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  <c r="AA183" s="26" t="n"/>
      <c r="AB183" s="26" t="n"/>
      <c r="AC183" s="26" t="n"/>
      <c r="AD183" s="26" t="n"/>
      <c r="AE183" s="26" t="n"/>
      <c r="AF183" s="26" t="n"/>
      <c r="AG183" s="26" t="n"/>
      <c r="AH183" s="26" t="n"/>
      <c r="AI183" s="26" t="n"/>
      <c r="AJ183" s="26" t="n"/>
      <c r="AK183" s="26" t="n"/>
      <c r="AL183" s="26" t="n"/>
      <c r="AM183" s="18">
        <f>COUNTIF(H183:AL183,"حضور")</f>
        <v/>
      </c>
      <c r="AN183" s="19">
        <f>COUNTIF(H183:AL183,"غياب")</f>
        <v/>
      </c>
      <c r="AO183" s="20">
        <f>IFERROR(AM183/(AM183+AN183+COUNTIF(H183:AL183,"مستأذن"))*100,0)</f>
        <v/>
      </c>
    </row>
    <row r="184" ht="20" customHeight="1">
      <c r="A184" s="11" t="n">
        <v>179</v>
      </c>
      <c r="B184" s="12" t="n"/>
      <c r="C184" s="13" t="n"/>
      <c r="D184" s="14" t="n"/>
      <c r="E184" s="14" t="n"/>
      <c r="F184" s="15" t="n"/>
      <c r="G184" s="16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8">
        <f>COUNTIF(H184:AL184,"حضور")</f>
        <v/>
      </c>
      <c r="AN184" s="19">
        <f>COUNTIF(H184:AL184,"غياب")</f>
        <v/>
      </c>
      <c r="AO184" s="20">
        <f>IFERROR(AM184/(AM184+AN184+COUNTIF(H184:AL184,"مستأذن"))*100,0)</f>
        <v/>
      </c>
    </row>
    <row r="185" ht="20" customHeight="1">
      <c r="A185" s="11" t="n">
        <v>180</v>
      </c>
      <c r="B185" s="21" t="n"/>
      <c r="C185" s="22" t="n"/>
      <c r="D185" s="23" t="n"/>
      <c r="E185" s="23" t="n"/>
      <c r="F185" s="24" t="n"/>
      <c r="G185" s="25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  <c r="AA185" s="26" t="n"/>
      <c r="AB185" s="26" t="n"/>
      <c r="AC185" s="26" t="n"/>
      <c r="AD185" s="26" t="n"/>
      <c r="AE185" s="26" t="n"/>
      <c r="AF185" s="26" t="n"/>
      <c r="AG185" s="26" t="n"/>
      <c r="AH185" s="26" t="n"/>
      <c r="AI185" s="26" t="n"/>
      <c r="AJ185" s="26" t="n"/>
      <c r="AK185" s="26" t="n"/>
      <c r="AL185" s="26" t="n"/>
      <c r="AM185" s="18">
        <f>COUNTIF(H185:AL185,"حضور")</f>
        <v/>
      </c>
      <c r="AN185" s="19">
        <f>COUNTIF(H185:AL185,"غياب")</f>
        <v/>
      </c>
      <c r="AO185" s="20">
        <f>IFERROR(AM185/(AM185+AN185+COUNTIF(H185:AL185,"مستأذن"))*100,0)</f>
        <v/>
      </c>
    </row>
    <row r="186" ht="20" customHeight="1">
      <c r="A186" s="11" t="n">
        <v>181</v>
      </c>
      <c r="B186" s="12" t="n"/>
      <c r="C186" s="13" t="n"/>
      <c r="D186" s="14" t="n"/>
      <c r="E186" s="14" t="n"/>
      <c r="F186" s="15" t="n"/>
      <c r="G186" s="16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8">
        <f>COUNTIF(H186:AL186,"حضور")</f>
        <v/>
      </c>
      <c r="AN186" s="19">
        <f>COUNTIF(H186:AL186,"غياب")</f>
        <v/>
      </c>
      <c r="AO186" s="20">
        <f>IFERROR(AM186/(AM186+AN186+COUNTIF(H186:AL186,"مستأذن"))*100,0)</f>
        <v/>
      </c>
    </row>
    <row r="187" ht="20" customHeight="1">
      <c r="A187" s="11" t="n">
        <v>182</v>
      </c>
      <c r="B187" s="21" t="n"/>
      <c r="C187" s="22" t="n"/>
      <c r="D187" s="23" t="n"/>
      <c r="E187" s="23" t="n"/>
      <c r="F187" s="24" t="n"/>
      <c r="G187" s="25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  <c r="AA187" s="26" t="n"/>
      <c r="AB187" s="26" t="n"/>
      <c r="AC187" s="26" t="n"/>
      <c r="AD187" s="26" t="n"/>
      <c r="AE187" s="26" t="n"/>
      <c r="AF187" s="26" t="n"/>
      <c r="AG187" s="26" t="n"/>
      <c r="AH187" s="26" t="n"/>
      <c r="AI187" s="26" t="n"/>
      <c r="AJ187" s="26" t="n"/>
      <c r="AK187" s="26" t="n"/>
      <c r="AL187" s="26" t="n"/>
      <c r="AM187" s="18">
        <f>COUNTIF(H187:AL187,"حضور")</f>
        <v/>
      </c>
      <c r="AN187" s="19">
        <f>COUNTIF(H187:AL187,"غياب")</f>
        <v/>
      </c>
      <c r="AO187" s="20">
        <f>IFERROR(AM187/(AM187+AN187+COUNTIF(H187:AL187,"مستأذن"))*100,0)</f>
        <v/>
      </c>
    </row>
    <row r="188" ht="20" customHeight="1">
      <c r="A188" s="11" t="n">
        <v>183</v>
      </c>
      <c r="B188" s="12" t="n"/>
      <c r="C188" s="13" t="n"/>
      <c r="D188" s="14" t="n"/>
      <c r="E188" s="14" t="n"/>
      <c r="F188" s="15" t="n"/>
      <c r="G188" s="16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8">
        <f>COUNTIF(H188:AL188,"حضور")</f>
        <v/>
      </c>
      <c r="AN188" s="19">
        <f>COUNTIF(H188:AL188,"غياب")</f>
        <v/>
      </c>
      <c r="AO188" s="20">
        <f>IFERROR(AM188/(AM188+AN188+COUNTIF(H188:AL188,"مستأذن"))*100,0)</f>
        <v/>
      </c>
    </row>
    <row r="189" ht="20" customHeight="1">
      <c r="A189" s="11" t="n">
        <v>184</v>
      </c>
      <c r="B189" s="21" t="n"/>
      <c r="C189" s="22" t="n"/>
      <c r="D189" s="23" t="n"/>
      <c r="E189" s="23" t="n"/>
      <c r="F189" s="24" t="n"/>
      <c r="G189" s="25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  <c r="AA189" s="26" t="n"/>
      <c r="AB189" s="26" t="n"/>
      <c r="AC189" s="26" t="n"/>
      <c r="AD189" s="26" t="n"/>
      <c r="AE189" s="26" t="n"/>
      <c r="AF189" s="26" t="n"/>
      <c r="AG189" s="26" t="n"/>
      <c r="AH189" s="26" t="n"/>
      <c r="AI189" s="26" t="n"/>
      <c r="AJ189" s="26" t="n"/>
      <c r="AK189" s="26" t="n"/>
      <c r="AL189" s="26" t="n"/>
      <c r="AM189" s="18">
        <f>COUNTIF(H189:AL189,"حضور")</f>
        <v/>
      </c>
      <c r="AN189" s="19">
        <f>COUNTIF(H189:AL189,"غياب")</f>
        <v/>
      </c>
      <c r="AO189" s="20">
        <f>IFERROR(AM189/(AM189+AN189+COUNTIF(H189:AL189,"مستأذن"))*100,0)</f>
        <v/>
      </c>
    </row>
    <row r="190" ht="20" customHeight="1">
      <c r="A190" s="11" t="n">
        <v>185</v>
      </c>
      <c r="B190" s="12" t="n"/>
      <c r="C190" s="13" t="n"/>
      <c r="D190" s="14" t="n"/>
      <c r="E190" s="14" t="n"/>
      <c r="F190" s="15" t="n"/>
      <c r="G190" s="16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8">
        <f>COUNTIF(H190:AL190,"حضور")</f>
        <v/>
      </c>
      <c r="AN190" s="19">
        <f>COUNTIF(H190:AL190,"غياب")</f>
        <v/>
      </c>
      <c r="AO190" s="20">
        <f>IFERROR(AM190/(AM190+AN190+COUNTIF(H190:AL190,"مستأذن"))*100,0)</f>
        <v/>
      </c>
    </row>
    <row r="191" ht="20" customHeight="1">
      <c r="A191" s="11" t="n">
        <v>186</v>
      </c>
      <c r="B191" s="21" t="n"/>
      <c r="C191" s="22" t="n"/>
      <c r="D191" s="23" t="n"/>
      <c r="E191" s="23" t="n"/>
      <c r="F191" s="24" t="n"/>
      <c r="G191" s="25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  <c r="AA191" s="26" t="n"/>
      <c r="AB191" s="26" t="n"/>
      <c r="AC191" s="26" t="n"/>
      <c r="AD191" s="26" t="n"/>
      <c r="AE191" s="26" t="n"/>
      <c r="AF191" s="26" t="n"/>
      <c r="AG191" s="26" t="n"/>
      <c r="AH191" s="26" t="n"/>
      <c r="AI191" s="26" t="n"/>
      <c r="AJ191" s="26" t="n"/>
      <c r="AK191" s="26" t="n"/>
      <c r="AL191" s="26" t="n"/>
      <c r="AM191" s="18">
        <f>COUNTIF(H191:AL191,"حضور")</f>
        <v/>
      </c>
      <c r="AN191" s="19">
        <f>COUNTIF(H191:AL191,"غياب")</f>
        <v/>
      </c>
      <c r="AO191" s="20">
        <f>IFERROR(AM191/(AM191+AN191+COUNTIF(H191:AL191,"مستأذن"))*100,0)</f>
        <v/>
      </c>
    </row>
    <row r="192" ht="20" customHeight="1">
      <c r="A192" s="11" t="n">
        <v>187</v>
      </c>
      <c r="B192" s="12" t="n"/>
      <c r="C192" s="13" t="n"/>
      <c r="D192" s="14" t="n"/>
      <c r="E192" s="14" t="n"/>
      <c r="F192" s="15" t="n"/>
      <c r="G192" s="16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8">
        <f>COUNTIF(H192:AL192,"حضور")</f>
        <v/>
      </c>
      <c r="AN192" s="19">
        <f>COUNTIF(H192:AL192,"غياب")</f>
        <v/>
      </c>
      <c r="AO192" s="20">
        <f>IFERROR(AM192/(AM192+AN192+COUNTIF(H192:AL192,"مستأذن"))*100,0)</f>
        <v/>
      </c>
    </row>
    <row r="193" ht="20" customHeight="1">
      <c r="A193" s="11" t="n">
        <v>188</v>
      </c>
      <c r="B193" s="21" t="n"/>
      <c r="C193" s="22" t="n"/>
      <c r="D193" s="23" t="n"/>
      <c r="E193" s="23" t="n"/>
      <c r="F193" s="24" t="n"/>
      <c r="G193" s="25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  <c r="AA193" s="26" t="n"/>
      <c r="AB193" s="26" t="n"/>
      <c r="AC193" s="26" t="n"/>
      <c r="AD193" s="26" t="n"/>
      <c r="AE193" s="26" t="n"/>
      <c r="AF193" s="26" t="n"/>
      <c r="AG193" s="26" t="n"/>
      <c r="AH193" s="26" t="n"/>
      <c r="AI193" s="26" t="n"/>
      <c r="AJ193" s="26" t="n"/>
      <c r="AK193" s="26" t="n"/>
      <c r="AL193" s="26" t="n"/>
      <c r="AM193" s="18">
        <f>COUNTIF(H193:AL193,"حضور")</f>
        <v/>
      </c>
      <c r="AN193" s="19">
        <f>COUNTIF(H193:AL193,"غياب")</f>
        <v/>
      </c>
      <c r="AO193" s="20">
        <f>IFERROR(AM193/(AM193+AN193+COUNTIF(H193:AL193,"مستأذن"))*100,0)</f>
        <v/>
      </c>
    </row>
    <row r="194" ht="20" customHeight="1">
      <c r="A194" s="11" t="n">
        <v>189</v>
      </c>
      <c r="B194" s="12" t="n"/>
      <c r="C194" s="13" t="n"/>
      <c r="D194" s="14" t="n"/>
      <c r="E194" s="14" t="n"/>
      <c r="F194" s="15" t="n"/>
      <c r="G194" s="16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8">
        <f>COUNTIF(H194:AL194,"حضور")</f>
        <v/>
      </c>
      <c r="AN194" s="19">
        <f>COUNTIF(H194:AL194,"غياب")</f>
        <v/>
      </c>
      <c r="AO194" s="20">
        <f>IFERROR(AM194/(AM194+AN194+COUNTIF(H194:AL194,"مستأذن"))*100,0)</f>
        <v/>
      </c>
    </row>
    <row r="195" ht="20" customHeight="1">
      <c r="A195" s="11" t="n">
        <v>190</v>
      </c>
      <c r="B195" s="21" t="n"/>
      <c r="C195" s="22" t="n"/>
      <c r="D195" s="23" t="n"/>
      <c r="E195" s="23" t="n"/>
      <c r="F195" s="24" t="n"/>
      <c r="G195" s="25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  <c r="AA195" s="26" t="n"/>
      <c r="AB195" s="26" t="n"/>
      <c r="AC195" s="26" t="n"/>
      <c r="AD195" s="26" t="n"/>
      <c r="AE195" s="26" t="n"/>
      <c r="AF195" s="26" t="n"/>
      <c r="AG195" s="26" t="n"/>
      <c r="AH195" s="26" t="n"/>
      <c r="AI195" s="26" t="n"/>
      <c r="AJ195" s="26" t="n"/>
      <c r="AK195" s="26" t="n"/>
      <c r="AL195" s="26" t="n"/>
      <c r="AM195" s="18">
        <f>COUNTIF(H195:AL195,"حضور")</f>
        <v/>
      </c>
      <c r="AN195" s="19">
        <f>COUNTIF(H195:AL195,"غياب")</f>
        <v/>
      </c>
      <c r="AO195" s="20">
        <f>IFERROR(AM195/(AM195+AN195+COUNTIF(H195:AL195,"مستأذن"))*100,0)</f>
        <v/>
      </c>
    </row>
    <row r="196" ht="20" customHeight="1">
      <c r="A196" s="11" t="n">
        <v>191</v>
      </c>
      <c r="B196" s="12" t="n"/>
      <c r="C196" s="13" t="n"/>
      <c r="D196" s="14" t="n"/>
      <c r="E196" s="14" t="n"/>
      <c r="F196" s="15" t="n"/>
      <c r="G196" s="16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8">
        <f>COUNTIF(H196:AL196,"حضور")</f>
        <v/>
      </c>
      <c r="AN196" s="19">
        <f>COUNTIF(H196:AL196,"غياب")</f>
        <v/>
      </c>
      <c r="AO196" s="20">
        <f>IFERROR(AM196/(AM196+AN196+COUNTIF(H196:AL196,"مستأذن"))*100,0)</f>
        <v/>
      </c>
    </row>
    <row r="197" ht="20" customHeight="1">
      <c r="A197" s="11" t="n">
        <v>192</v>
      </c>
      <c r="B197" s="21" t="n"/>
      <c r="C197" s="22" t="n"/>
      <c r="D197" s="23" t="n"/>
      <c r="E197" s="23" t="n"/>
      <c r="F197" s="24" t="n"/>
      <c r="G197" s="25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  <c r="AA197" s="26" t="n"/>
      <c r="AB197" s="26" t="n"/>
      <c r="AC197" s="26" t="n"/>
      <c r="AD197" s="26" t="n"/>
      <c r="AE197" s="26" t="n"/>
      <c r="AF197" s="26" t="n"/>
      <c r="AG197" s="26" t="n"/>
      <c r="AH197" s="26" t="n"/>
      <c r="AI197" s="26" t="n"/>
      <c r="AJ197" s="26" t="n"/>
      <c r="AK197" s="26" t="n"/>
      <c r="AL197" s="26" t="n"/>
      <c r="AM197" s="18">
        <f>COUNTIF(H197:AL197,"حضور")</f>
        <v/>
      </c>
      <c r="AN197" s="19">
        <f>COUNTIF(H197:AL197,"غياب")</f>
        <v/>
      </c>
      <c r="AO197" s="20">
        <f>IFERROR(AM197/(AM197+AN197+COUNTIF(H197:AL197,"مستأذن"))*100,0)</f>
        <v/>
      </c>
    </row>
    <row r="198" ht="20" customHeight="1">
      <c r="A198" s="11" t="n">
        <v>193</v>
      </c>
      <c r="B198" s="12" t="n"/>
      <c r="C198" s="13" t="n"/>
      <c r="D198" s="14" t="n"/>
      <c r="E198" s="14" t="n"/>
      <c r="F198" s="15" t="n"/>
      <c r="G198" s="16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8">
        <f>COUNTIF(H198:AL198,"حضور")</f>
        <v/>
      </c>
      <c r="AN198" s="19">
        <f>COUNTIF(H198:AL198,"غياب")</f>
        <v/>
      </c>
      <c r="AO198" s="20">
        <f>IFERROR(AM198/(AM198+AN198+COUNTIF(H198:AL198,"مستأذن"))*100,0)</f>
        <v/>
      </c>
    </row>
    <row r="199" ht="20" customHeight="1">
      <c r="A199" s="11" t="n">
        <v>194</v>
      </c>
      <c r="B199" s="21" t="n"/>
      <c r="C199" s="22" t="n"/>
      <c r="D199" s="23" t="n"/>
      <c r="E199" s="23" t="n"/>
      <c r="F199" s="24" t="n"/>
      <c r="G199" s="25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  <c r="AA199" s="26" t="n"/>
      <c r="AB199" s="26" t="n"/>
      <c r="AC199" s="26" t="n"/>
      <c r="AD199" s="26" t="n"/>
      <c r="AE199" s="26" t="n"/>
      <c r="AF199" s="26" t="n"/>
      <c r="AG199" s="26" t="n"/>
      <c r="AH199" s="26" t="n"/>
      <c r="AI199" s="26" t="n"/>
      <c r="AJ199" s="26" t="n"/>
      <c r="AK199" s="26" t="n"/>
      <c r="AL199" s="26" t="n"/>
      <c r="AM199" s="18">
        <f>COUNTIF(H199:AL199,"حضور")</f>
        <v/>
      </c>
      <c r="AN199" s="19">
        <f>COUNTIF(H199:AL199,"غياب")</f>
        <v/>
      </c>
      <c r="AO199" s="20">
        <f>IFERROR(AM199/(AM199+AN199+COUNTIF(H199:AL199,"مستأذن"))*100,0)</f>
        <v/>
      </c>
    </row>
    <row r="200" ht="20" customHeight="1">
      <c r="A200" s="11" t="n">
        <v>195</v>
      </c>
      <c r="B200" s="12" t="n"/>
      <c r="C200" s="13" t="n"/>
      <c r="D200" s="14" t="n"/>
      <c r="E200" s="14" t="n"/>
      <c r="F200" s="15" t="n"/>
      <c r="G200" s="16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8">
        <f>COUNTIF(H200:AL200,"حضور")</f>
        <v/>
      </c>
      <c r="AN200" s="19">
        <f>COUNTIF(H200:AL200,"غياب")</f>
        <v/>
      </c>
      <c r="AO200" s="20">
        <f>IFERROR(AM200/(AM200+AN200+COUNTIF(H200:AL200,"مستأذن"))*100,0)</f>
        <v/>
      </c>
    </row>
    <row r="201" ht="20" customHeight="1">
      <c r="A201" s="11" t="n">
        <v>196</v>
      </c>
      <c r="B201" s="21" t="n"/>
      <c r="C201" s="22" t="n"/>
      <c r="D201" s="23" t="n"/>
      <c r="E201" s="23" t="n"/>
      <c r="F201" s="24" t="n"/>
      <c r="G201" s="25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  <c r="AA201" s="26" t="n"/>
      <c r="AB201" s="26" t="n"/>
      <c r="AC201" s="26" t="n"/>
      <c r="AD201" s="26" t="n"/>
      <c r="AE201" s="26" t="n"/>
      <c r="AF201" s="26" t="n"/>
      <c r="AG201" s="26" t="n"/>
      <c r="AH201" s="26" t="n"/>
      <c r="AI201" s="26" t="n"/>
      <c r="AJ201" s="26" t="n"/>
      <c r="AK201" s="26" t="n"/>
      <c r="AL201" s="26" t="n"/>
      <c r="AM201" s="18">
        <f>COUNTIF(H201:AL201,"حضور")</f>
        <v/>
      </c>
      <c r="AN201" s="19">
        <f>COUNTIF(H201:AL201,"غياب")</f>
        <v/>
      </c>
      <c r="AO201" s="20">
        <f>IFERROR(AM201/(AM201+AN201+COUNTIF(H201:AL201,"مستأذن"))*100,0)</f>
        <v/>
      </c>
    </row>
    <row r="202" ht="20" customHeight="1">
      <c r="A202" s="11" t="n">
        <v>197</v>
      </c>
      <c r="B202" s="12" t="n"/>
      <c r="C202" s="13" t="n"/>
      <c r="D202" s="14" t="n"/>
      <c r="E202" s="14" t="n"/>
      <c r="F202" s="15" t="n"/>
      <c r="G202" s="16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8">
        <f>COUNTIF(H202:AL202,"حضور")</f>
        <v/>
      </c>
      <c r="AN202" s="19">
        <f>COUNTIF(H202:AL202,"غياب")</f>
        <v/>
      </c>
      <c r="AO202" s="20">
        <f>IFERROR(AM202/(AM202+AN202+COUNTIF(H202:AL202,"مستأذن"))*100,0)</f>
        <v/>
      </c>
    </row>
    <row r="203" ht="20" customHeight="1">
      <c r="A203" s="11" t="n">
        <v>198</v>
      </c>
      <c r="B203" s="21" t="n"/>
      <c r="C203" s="22" t="n"/>
      <c r="D203" s="23" t="n"/>
      <c r="E203" s="23" t="n"/>
      <c r="F203" s="24" t="n"/>
      <c r="G203" s="25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  <c r="AA203" s="26" t="n"/>
      <c r="AB203" s="26" t="n"/>
      <c r="AC203" s="26" t="n"/>
      <c r="AD203" s="26" t="n"/>
      <c r="AE203" s="26" t="n"/>
      <c r="AF203" s="26" t="n"/>
      <c r="AG203" s="26" t="n"/>
      <c r="AH203" s="26" t="n"/>
      <c r="AI203" s="26" t="n"/>
      <c r="AJ203" s="26" t="n"/>
      <c r="AK203" s="26" t="n"/>
      <c r="AL203" s="26" t="n"/>
      <c r="AM203" s="18">
        <f>COUNTIF(H203:AL203,"حضور")</f>
        <v/>
      </c>
      <c r="AN203" s="19">
        <f>COUNTIF(H203:AL203,"غياب")</f>
        <v/>
      </c>
      <c r="AO203" s="20">
        <f>IFERROR(AM203/(AM203+AN203+COUNTIF(H203:AL203,"مستأذن"))*100,0)</f>
        <v/>
      </c>
    </row>
    <row r="204" ht="20" customHeight="1">
      <c r="A204" s="11" t="n">
        <v>199</v>
      </c>
      <c r="B204" s="12" t="n"/>
      <c r="C204" s="13" t="n"/>
      <c r="D204" s="14" t="n"/>
      <c r="E204" s="14" t="n"/>
      <c r="F204" s="15" t="n"/>
      <c r="G204" s="16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8">
        <f>COUNTIF(H204:AL204,"حضور")</f>
        <v/>
      </c>
      <c r="AN204" s="19">
        <f>COUNTIF(H204:AL204,"غياب")</f>
        <v/>
      </c>
      <c r="AO204" s="20">
        <f>IFERROR(AM204/(AM204+AN204+COUNTIF(H204:AL204,"مستأذن"))*100,0)</f>
        <v/>
      </c>
    </row>
    <row r="205" ht="20" customHeight="1">
      <c r="A205" s="11" t="n">
        <v>200</v>
      </c>
      <c r="B205" s="21" t="n"/>
      <c r="C205" s="22" t="n"/>
      <c r="D205" s="23" t="n"/>
      <c r="E205" s="23" t="n"/>
      <c r="F205" s="24" t="n"/>
      <c r="G205" s="25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  <c r="AA205" s="26" t="n"/>
      <c r="AB205" s="26" t="n"/>
      <c r="AC205" s="26" t="n"/>
      <c r="AD205" s="26" t="n"/>
      <c r="AE205" s="26" t="n"/>
      <c r="AF205" s="26" t="n"/>
      <c r="AG205" s="26" t="n"/>
      <c r="AH205" s="26" t="n"/>
      <c r="AI205" s="26" t="n"/>
      <c r="AJ205" s="26" t="n"/>
      <c r="AK205" s="26" t="n"/>
      <c r="AL205" s="26" t="n"/>
      <c r="AM205" s="18">
        <f>COUNTIF(H205:AL205,"حضور")</f>
        <v/>
      </c>
      <c r="AN205" s="19">
        <f>COUNTIF(H205:AL205,"غياب")</f>
        <v/>
      </c>
      <c r="AO205" s="20">
        <f>IFERROR(AM205/(AM205+AN205+COUNTIF(H205:AL205,"مستأذن"))*100,0)</f>
        <v/>
      </c>
    </row>
    <row r="207" ht="28" customHeight="1">
      <c r="A207" s="5" t="inlineStr">
        <is>
          <t>الإجماليات</t>
        </is>
      </c>
      <c r="H207" s="27">
        <f>COUNTIF(H6:H205,"حضور")</f>
        <v/>
      </c>
      <c r="I207" s="27">
        <f>COUNTIF(I6:I205,"حضور")</f>
        <v/>
      </c>
      <c r="J207" s="27">
        <f>COUNTIF(J6:J205,"حضور")</f>
        <v/>
      </c>
      <c r="K207" s="27">
        <f>COUNTIF(K6:K205,"حضور")</f>
        <v/>
      </c>
      <c r="L207" s="27">
        <f>COUNTIF(L6:L205,"حضور")</f>
        <v/>
      </c>
      <c r="M207" s="27">
        <f>COUNTIF(M6:M205,"حضور")</f>
        <v/>
      </c>
      <c r="N207" s="27">
        <f>COUNTIF(N6:N205,"حضور")</f>
        <v/>
      </c>
      <c r="O207" s="27">
        <f>COUNTIF(O6:O205,"حضور")</f>
        <v/>
      </c>
      <c r="P207" s="27">
        <f>COUNTIF(P6:P205,"حضور")</f>
        <v/>
      </c>
      <c r="Q207" s="27">
        <f>COUNTIF(Q6:Q205,"حضور")</f>
        <v/>
      </c>
      <c r="R207" s="27">
        <f>COUNTIF(R6:R205,"حضور")</f>
        <v/>
      </c>
      <c r="S207" s="27">
        <f>COUNTIF(S6:S205,"حضور")</f>
        <v/>
      </c>
      <c r="T207" s="27">
        <f>COUNTIF(T6:T205,"حضور")</f>
        <v/>
      </c>
      <c r="U207" s="27">
        <f>COUNTIF(U6:U205,"حضور")</f>
        <v/>
      </c>
      <c r="V207" s="27">
        <f>COUNTIF(V6:V205,"حضور")</f>
        <v/>
      </c>
      <c r="W207" s="27">
        <f>COUNTIF(W6:W205,"حضور")</f>
        <v/>
      </c>
      <c r="X207" s="27">
        <f>COUNTIF(X6:X205,"حضور")</f>
        <v/>
      </c>
      <c r="Y207" s="27">
        <f>COUNTIF(Y6:Y205,"حضور")</f>
        <v/>
      </c>
      <c r="Z207" s="27">
        <f>COUNTIF(Z6:Z205,"حضور")</f>
        <v/>
      </c>
      <c r="AA207" s="27">
        <f>COUNTIF(AA6:AA205,"حضور")</f>
        <v/>
      </c>
      <c r="AB207" s="27">
        <f>COUNTIF(AB6:AB205,"حضور")</f>
        <v/>
      </c>
      <c r="AC207" s="27">
        <f>COUNTIF(AC6:AC205,"حضور")</f>
        <v/>
      </c>
      <c r="AD207" s="27">
        <f>COUNTIF(AD6:AD205,"حضور")</f>
        <v/>
      </c>
      <c r="AE207" s="27">
        <f>COUNTIF(AE6:AE205,"حضور")</f>
        <v/>
      </c>
      <c r="AF207" s="27">
        <f>COUNTIF(AF6:AF205,"حضور")</f>
        <v/>
      </c>
      <c r="AG207" s="27">
        <f>COUNTIF(AG6:AG205,"حضور")</f>
        <v/>
      </c>
      <c r="AH207" s="27">
        <f>COUNTIF(AH6:AH205,"حضور")</f>
        <v/>
      </c>
      <c r="AI207" s="27">
        <f>COUNTIF(AI6:AI205,"حضور")</f>
        <v/>
      </c>
      <c r="AJ207" s="27">
        <f>COUNTIF(AJ6:AJ205,"حضور")</f>
        <v/>
      </c>
      <c r="AK207" s="27">
        <f>COUNTIF(AK6:AK205,"حضور")</f>
        <v/>
      </c>
      <c r="AL207" s="27">
        <f>COUNTIF(AL6:AL205,"حضور")</f>
        <v/>
      </c>
      <c r="AM207" s="28">
        <f>SUM(AM6:AM205)</f>
        <v/>
      </c>
      <c r="AN207" s="29">
        <f>SUM(AN6:AN205)</f>
        <v/>
      </c>
      <c r="AO207" s="30">
        <f>IFERROR(AM207/(AM207+AN207)*100,0)</f>
        <v/>
      </c>
    </row>
    <row r="209" ht="22" customHeight="1">
      <c r="A209" s="31" t="inlineStr">
        <is>
          <t>حضور</t>
        </is>
      </c>
      <c r="C209" s="32" t="inlineStr">
        <is>
          <t>غياب</t>
        </is>
      </c>
      <c r="E209" s="33" t="inlineStr">
        <is>
          <t>ترك</t>
        </is>
      </c>
      <c r="G209" s="34" t="inlineStr">
        <is>
          <t>إجازة</t>
        </is>
      </c>
      <c r="I209" s="35" t="inlineStr">
        <is>
          <t>مستأذن</t>
        </is>
      </c>
      <c r="K209" s="36" t="inlineStr">
        <is>
          <t>عطلة</t>
        </is>
      </c>
      <c r="M209" s="37" t="inlineStr">
        <is>
          <t>3 غيابات متتالية → أحمر</t>
        </is>
      </c>
    </row>
  </sheetData>
  <autoFilter ref="A5:AO205"/>
  <mergeCells count="10">
    <mergeCell ref="F2:G2"/>
    <mergeCell ref="A209:B209"/>
    <mergeCell ref="E209:F209"/>
    <mergeCell ref="C209:D209"/>
    <mergeCell ref="G209:H209"/>
    <mergeCell ref="I209:J209"/>
    <mergeCell ref="M209:N209"/>
    <mergeCell ref="K209:L209"/>
    <mergeCell ref="A1:AO1"/>
    <mergeCell ref="A207:G207"/>
  </mergeCells>
  <conditionalFormatting sqref="A6:G205">
    <cfRule type="expression" priority="1" dxfId="0">
      <formula>=SUMPRODUCT(($H6:$AJ6="غياب")*($I6:$AK6="غياب")*($J6:$AL6="غياب"))&gt;0</formula>
    </cfRule>
  </conditionalFormatting>
  <conditionalFormatting sqref="H6:AL205">
    <cfRule type="expression" priority="2" dxfId="1">
      <formula>=H6="حضور"</formula>
    </cfRule>
    <cfRule type="expression" priority="3" dxfId="2">
      <formula>=H6="غياب"</formula>
    </cfRule>
    <cfRule type="expression" priority="4" dxfId="3">
      <formula>=H6="ترك"</formula>
    </cfRule>
    <cfRule type="expression" priority="5" dxfId="4">
      <formula>=H6="إجازة"</formula>
    </cfRule>
    <cfRule type="expression" priority="6" dxfId="5">
      <formula>=H6="مستأذن"</formula>
    </cfRule>
    <cfRule type="expression" priority="7" dxfId="6">
      <formula>=H6="عطلة"</formula>
    </cfRule>
    <cfRule type="expression" priority="8" dxfId="7">
      <formula>=AND(INDIRECT("R3C"&amp;COLUMN(),FALSE)&lt;&gt;"",OR(WEEKDAY(INDIRECT("R3C"&amp;COLUMN(),FALSE),1)=6,WEEKDAY(INDIRECT("R3C"&amp;COLUMN(),FALSE),1)=7))</formula>
    </cfRule>
  </conditionalFormatting>
  <conditionalFormatting sqref="H3:AL205">
    <cfRule type="expression" priority="9" dxfId="8">
      <formula>=INDIRECT("R3C"&amp;COLUMN(),FALSE)=""</formula>
    </cfRule>
  </conditionalFormatting>
  <conditionalFormatting sqref="AO6:AO205">
    <cfRule type="expression" priority="10" dxfId="9">
      <formula>=AO6&lt;60</formula>
    </cfRule>
    <cfRule type="expression" priority="11" dxfId="10">
      <formula>=AND(AO6&gt;=60,AO6&lt;80)</formula>
    </cfRule>
    <cfRule type="expression" priority="12" dxfId="11">
      <formula>=AO6&gt;=80</formula>
    </cfRule>
  </conditionalFormatting>
  <dataValidations count="2">
    <dataValidation sqref="B2" showDropDown="0" showInputMessage="0" showErrorMessage="0" allowBlank="0" type="list">
      <formula1>"1,2,3,4,5,6,7,8,9,10,11,12"</formula1>
    </dataValidation>
    <dataValidation sqref="H6:AL205" showDropDown="0" showInputMessage="1" showErrorMessage="1" allowBlank="1" errorTitle="خطأ" error="اختر من القائمة فقط" promptTitle="الحالة" prompt="حضور | غياب | ترك | إجازة | مستأذن | عطلة" type="list">
      <formula1>"حضور,غياب,ترك,إجازة,مستأذن,عطلة"</formula1>
    </dataValidation>
  </dataValidation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2026-06-02T15:47:23Z</dcterms:created>
  <dcterms:modified xsi:type="dcterms:W3CDTF">2026-06-02T15:47:24Z</dcterms:modified>
</cp:coreProperties>
</file>